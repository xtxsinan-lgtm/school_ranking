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升学" sheetId="1" r:id="rId5"/>
    <sheet state="visible" name="整理后升学2" sheetId="2" r:id="rId6"/>
    <sheet state="visible" name="原始升学" sheetId="3" r:id="rId7"/>
    <sheet state="visible" name="整理后升学" sheetId="4" r:id="rId8"/>
    <sheet state="visible" name="录取率" sheetId="5" r:id="rId9"/>
    <sheet state="visible" name="地区分布" sheetId="6" r:id="rId10"/>
    <sheet state="visible" name="信息" sheetId="7" r:id="rId11"/>
    <sheet state="visible" name="升学录取率" sheetId="8" r:id="rId12"/>
    <sheet state="visible" name="分档" sheetId="9" r:id="rId13"/>
    <sheet state="visible" name="UCB UCLA" sheetId="10" r:id="rId14"/>
    <sheet state="visible" name="UC双强整理后" sheetId="11" r:id="rId15"/>
    <sheet state="visible" name="Sheet15" sheetId="12" r:id="rId16"/>
    <sheet state="visible" name="HPM" sheetId="13" r:id="rId17"/>
  </sheets>
  <definedNames/>
  <calcPr/>
</workbook>
</file>

<file path=xl/sharedStrings.xml><?xml version="1.0" encoding="utf-8"?>
<sst xmlns="http://schemas.openxmlformats.org/spreadsheetml/2006/main" count="1315" uniqueCount="419">
  <si>
    <t>CPS</t>
  </si>
  <si>
    <t>SF University</t>
  </si>
  <si>
    <t>Branson</t>
  </si>
  <si>
    <t>LWHS</t>
  </si>
  <si>
    <t>SF International</t>
  </si>
  <si>
    <t>Quarry Lane</t>
  </si>
  <si>
    <t>Urban</t>
  </si>
  <si>
    <t>Nueva</t>
  </si>
  <si>
    <t>Harker</t>
  </si>
  <si>
    <t>Head Royce</t>
  </si>
  <si>
    <t>Menlo</t>
  </si>
  <si>
    <t>Bellarmine</t>
  </si>
  <si>
    <t>St Francis</t>
  </si>
  <si>
    <t>Gunn</t>
  </si>
  <si>
    <t>Palo Alto</t>
  </si>
  <si>
    <t>Lynbrook</t>
  </si>
  <si>
    <t>MSJ</t>
  </si>
  <si>
    <t>Saratoga</t>
  </si>
  <si>
    <t>Dougherty</t>
  </si>
  <si>
    <t>Los Altos</t>
  </si>
  <si>
    <t>MA</t>
  </si>
  <si>
    <t>Leland</t>
  </si>
  <si>
    <t>MTV</t>
  </si>
  <si>
    <t>Los Gatos</t>
  </si>
  <si>
    <t>Irvington</t>
  </si>
  <si>
    <t>Dublin</t>
  </si>
  <si>
    <t>Northgate</t>
  </si>
  <si>
    <t>Leigh</t>
  </si>
  <si>
    <t>Milpitas</t>
  </si>
  <si>
    <t>2019-2023 4+</t>
  </si>
  <si>
    <t>2019-2023</t>
  </si>
  <si>
    <t>2020-2022</t>
  </si>
  <si>
    <t>2020-2023</t>
  </si>
  <si>
    <t>2016-2020</t>
  </si>
  <si>
    <t>2023 usnews top50</t>
  </si>
  <si>
    <t>2022 usnews top 50</t>
  </si>
  <si>
    <t>2013-2017</t>
  </si>
  <si>
    <t>2017-2021</t>
  </si>
  <si>
    <t>2021-2023</t>
  </si>
  <si>
    <t>2018-2022</t>
  </si>
  <si>
    <t>2019-2022</t>
  </si>
  <si>
    <t>2017-2022</t>
  </si>
  <si>
    <t>UC6校</t>
  </si>
  <si>
    <t>Harvard</t>
  </si>
  <si>
    <t>adjusted stanford</t>
  </si>
  <si>
    <t>Stanford</t>
  </si>
  <si>
    <t>MIT</t>
  </si>
  <si>
    <t>Yale</t>
  </si>
  <si>
    <t>Naval</t>
  </si>
  <si>
    <t>Princeton</t>
  </si>
  <si>
    <t>Oxford</t>
  </si>
  <si>
    <t>T1累计</t>
  </si>
  <si>
    <t>Cambridge</t>
  </si>
  <si>
    <t>Columbia</t>
  </si>
  <si>
    <t>UPenn</t>
  </si>
  <si>
    <t>Caltech</t>
  </si>
  <si>
    <t>Duke</t>
  </si>
  <si>
    <t>Brown</t>
  </si>
  <si>
    <t>Chicago</t>
  </si>
  <si>
    <t>West Point</t>
  </si>
  <si>
    <t>ivy league</t>
  </si>
  <si>
    <t>Pomona</t>
  </si>
  <si>
    <t>Dartmouth</t>
  </si>
  <si>
    <t>Air Force</t>
  </si>
  <si>
    <t>ICL</t>
  </si>
  <si>
    <t>T2累计</t>
  </si>
  <si>
    <t xml:space="preserve"> </t>
  </si>
  <si>
    <t>UCL</t>
  </si>
  <si>
    <t>Mcgill</t>
  </si>
  <si>
    <t>EPFL</t>
  </si>
  <si>
    <t>Notre Dame</t>
  </si>
  <si>
    <t>Williams</t>
  </si>
  <si>
    <t>Northwestern</t>
  </si>
  <si>
    <t>Amherst</t>
  </si>
  <si>
    <t>WashU</t>
  </si>
  <si>
    <t>Bowdoin</t>
  </si>
  <si>
    <t>UCB</t>
  </si>
  <si>
    <t>Swarthmore</t>
  </si>
  <si>
    <t>Harvey Mudd</t>
  </si>
  <si>
    <t>Cornell</t>
  </si>
  <si>
    <t>Claremont</t>
  </si>
  <si>
    <t>Rice</t>
  </si>
  <si>
    <t>JHU</t>
  </si>
  <si>
    <t>USC</t>
  </si>
  <si>
    <t>Georgetown</t>
  </si>
  <si>
    <t>Wellesley</t>
  </si>
  <si>
    <t>UMich</t>
  </si>
  <si>
    <t>Carleton</t>
  </si>
  <si>
    <t>LAC</t>
  </si>
  <si>
    <t>Vanderbilt</t>
  </si>
  <si>
    <t>UCLA</t>
  </si>
  <si>
    <t>St Andrews</t>
  </si>
  <si>
    <t>T3累计</t>
  </si>
  <si>
    <t>Edinburgh</t>
  </si>
  <si>
    <t>Trinity</t>
  </si>
  <si>
    <t>Toronto</t>
  </si>
  <si>
    <t>Julliard</t>
  </si>
  <si>
    <t>UVA</t>
  </si>
  <si>
    <t>Tufts</t>
  </si>
  <si>
    <t>Haverford</t>
  </si>
  <si>
    <t>CMU</t>
  </si>
  <si>
    <t>Middlebury</t>
  </si>
  <si>
    <t>Gatech</t>
  </si>
  <si>
    <t>UT Austin</t>
  </si>
  <si>
    <t>Barnard</t>
  </si>
  <si>
    <t>Wesleyan</t>
  </si>
  <si>
    <t>Washington&amp;Lee</t>
  </si>
  <si>
    <t>Smith</t>
  </si>
  <si>
    <t>Vassar</t>
  </si>
  <si>
    <t>UNC</t>
  </si>
  <si>
    <t>UIUC</t>
  </si>
  <si>
    <t>UWM</t>
  </si>
  <si>
    <t>UG</t>
  </si>
  <si>
    <t>Emory</t>
  </si>
  <si>
    <t>KCL</t>
  </si>
  <si>
    <t>UBC</t>
  </si>
  <si>
    <t>Pitzer</t>
  </si>
  <si>
    <t>BC</t>
  </si>
  <si>
    <t>NYU</t>
  </si>
  <si>
    <t>Macalester</t>
  </si>
  <si>
    <t>Scripps</t>
  </si>
  <si>
    <t>Hamilton</t>
  </si>
  <si>
    <t>Colgate</t>
  </si>
  <si>
    <t>UCSB</t>
  </si>
  <si>
    <t>Grinnell</t>
  </si>
  <si>
    <t>Purdue</t>
  </si>
  <si>
    <t>UCD</t>
  </si>
  <si>
    <t>UCSD</t>
  </si>
  <si>
    <t>Bates</t>
  </si>
  <si>
    <t>Bucknell</t>
  </si>
  <si>
    <t>Richmond</t>
  </si>
  <si>
    <t>OSU</t>
  </si>
  <si>
    <t>UCI</t>
  </si>
  <si>
    <t>Florida</t>
  </si>
  <si>
    <t>Colorado</t>
  </si>
  <si>
    <t>Santa Clara</t>
  </si>
  <si>
    <t>GWU</t>
  </si>
  <si>
    <t>Virginia Tech</t>
  </si>
  <si>
    <t>Colby</t>
  </si>
  <si>
    <t>Tulane</t>
  </si>
  <si>
    <t>WFU</t>
  </si>
  <si>
    <t>W&amp;M</t>
  </si>
  <si>
    <t>TAMU</t>
  </si>
  <si>
    <t>Davidson</t>
  </si>
  <si>
    <t>UW</t>
  </si>
  <si>
    <t>T4累计</t>
  </si>
  <si>
    <t>Lehigh</t>
  </si>
  <si>
    <t>Villanova</t>
  </si>
  <si>
    <t>MSU</t>
  </si>
  <si>
    <t>Rochester</t>
  </si>
  <si>
    <t>Brandeis</t>
  </si>
  <si>
    <t>NEU</t>
  </si>
  <si>
    <t>Pepperdine</t>
  </si>
  <si>
    <t>CWRU</t>
  </si>
  <si>
    <t>BU</t>
  </si>
  <si>
    <t>FSU</t>
  </si>
  <si>
    <t>NCSU</t>
  </si>
  <si>
    <t>IU</t>
  </si>
  <si>
    <t>Miami</t>
  </si>
  <si>
    <t>UMCP</t>
  </si>
  <si>
    <t>UMTC</t>
  </si>
  <si>
    <t>AU</t>
  </si>
  <si>
    <t>Syracuse</t>
  </si>
  <si>
    <t>Pitt</t>
  </si>
  <si>
    <t>Rutgers</t>
  </si>
  <si>
    <t>SBU</t>
  </si>
  <si>
    <t>RPI</t>
  </si>
  <si>
    <t>UMass</t>
  </si>
  <si>
    <t>UConn</t>
  </si>
  <si>
    <t>PSU</t>
  </si>
  <si>
    <t>Ecole Lausanne</t>
  </si>
  <si>
    <t>Berkelee</t>
  </si>
  <si>
    <t>学校类型</t>
  </si>
  <si>
    <t>学校</t>
  </si>
  <si>
    <t>HPSYM</t>
  </si>
  <si>
    <t>TOP5+Naval</t>
  </si>
  <si>
    <t>TOP12</t>
  </si>
  <si>
    <t>TOP12+牛剑+TOP3军校+Pomona</t>
  </si>
  <si>
    <t>TOP24</t>
  </si>
  <si>
    <t>TOP24+TOP9 LAC+TOP3军校+国际6校(牛剑+ICL+UCL+Mcgill+EPFL)</t>
  </si>
  <si>
    <t>常春藤</t>
  </si>
  <si>
    <t>TOP50</t>
  </si>
  <si>
    <t>TOP50+TOP29 LAC+TOP3军校+Julliard+国际6校+St.Andrews+Edinburgh+Trinity+Toronto+KCL+UBC</t>
  </si>
  <si>
    <t>加权总分</t>
  </si>
  <si>
    <t>Private</t>
  </si>
  <si>
    <t>SF Urban</t>
  </si>
  <si>
    <t>Public</t>
  </si>
  <si>
    <t>Dougherty Valley</t>
  </si>
  <si>
    <t>Menlo Atherton</t>
  </si>
  <si>
    <t>升学数据年份</t>
  </si>
  <si>
    <t>对应毕业生总数</t>
  </si>
  <si>
    <t>注</t>
  </si>
  <si>
    <t>只含至少录取4名学生的学校</t>
  </si>
  <si>
    <t>只含USNEWS TOP50学校</t>
  </si>
  <si>
    <t>只包括招生规模较大和名气较大的研究型大学</t>
  </si>
  <si>
    <t>牛剑</t>
  </si>
  <si>
    <t>西点/海军/空军学院+Pomona</t>
  </si>
  <si>
    <t>TOP12+牛剑</t>
  </si>
  <si>
    <t>ICL+UCL+Mcgill+EPFL</t>
  </si>
  <si>
    <t>2-9 LAC</t>
  </si>
  <si>
    <t>13-24</t>
  </si>
  <si>
    <t>TOP24+TOP9 LAC+TOP3军校+牛剑+ICL+UCL+Mcgill+EPFL</t>
  </si>
  <si>
    <t>TOP24+牛剑+ICL+UCL+Mcgill+EPFL</t>
  </si>
  <si>
    <t>TOP34</t>
  </si>
  <si>
    <t>St Andrews+Edinburgh+Trinity+Toronto</t>
  </si>
  <si>
    <t>10-16 LAC</t>
  </si>
  <si>
    <t>25-34</t>
  </si>
  <si>
    <t>TOP34+TOP16 LAC+Julliard+TOP3军校+牛剑+ICL+UCL+Mcgill+EPFL+St Andrews+Edinburgh+Trinity+Toronto</t>
  </si>
  <si>
    <t>KCL+UBC</t>
  </si>
  <si>
    <t>17-29 LAC</t>
  </si>
  <si>
    <t>35-50</t>
  </si>
  <si>
    <t>TOP50+TOP29 LAC+TOP3军校+Julliard+牛剑+UCL+ICL+Mcgill+EPFL+St Andrews+Edinburgh+Trinity+Toronto+KCL+UBC</t>
  </si>
  <si>
    <t>Castilleja</t>
  </si>
  <si>
    <t>Lick-Wilderming</t>
  </si>
  <si>
    <t>SF university</t>
  </si>
  <si>
    <t>CSU</t>
  </si>
  <si>
    <t>Pinewood</t>
  </si>
  <si>
    <t>Woodside priory</t>
  </si>
  <si>
    <t>basis</t>
  </si>
  <si>
    <t>Athenian</t>
  </si>
  <si>
    <t>Archbishop</t>
  </si>
  <si>
    <t>marin 3校 tamalpais redwood terra Linda</t>
  </si>
  <si>
    <t>sf 1校 lowell</t>
  </si>
  <si>
    <t>中半岛4校 aragon san mateo carlmont mills</t>
  </si>
  <si>
    <t>PA 5校 gunn paly LA MA MTV</t>
  </si>
  <si>
    <t>南湾西5校 lynbrook saratoga monta vista homestead cupertino</t>
  </si>
  <si>
    <t>南湾南3校 los gatos leland leigh</t>
  </si>
  <si>
    <t>fremont 2校 msj irvington</t>
  </si>
  <si>
    <t>pleasanton 2校 foothill amador</t>
  </si>
  <si>
    <t>san ramon 3校 dougherty monte vista california</t>
  </si>
  <si>
    <t>walnut creek 2校 acalanes northgate</t>
  </si>
  <si>
    <t>berkeley 4校 piedmont miramonte berkeley albany</t>
  </si>
  <si>
    <t>13不卷</t>
  </si>
  <si>
    <t>marin tmalpais</t>
  </si>
  <si>
    <t>sf lowell</t>
  </si>
  <si>
    <t>中半岛 aragon</t>
  </si>
  <si>
    <t>PA 4校 gunn paly LA MA</t>
  </si>
  <si>
    <t>南湾西 2 校saratoga monta</t>
  </si>
  <si>
    <t>13 强校</t>
  </si>
  <si>
    <t>南湾西 3校 lynbrook saratoga monta</t>
  </si>
  <si>
    <t>南湾南 los gatos</t>
  </si>
  <si>
    <t>Fremont msj</t>
  </si>
  <si>
    <t>berkeley 2校 piedmont miramonte</t>
  </si>
  <si>
    <t>一线 5</t>
  </si>
  <si>
    <t>gunn paly piedmont miramonte saratoga</t>
  </si>
  <si>
    <t>1.5 11</t>
  </si>
  <si>
    <t>MSJ LG lynbrook montavista la ma Aragon Tamalpais Lowell Albany berkeley</t>
  </si>
  <si>
    <t>Oakland 1 prepare</t>
  </si>
  <si>
    <t>Sf 1 university</t>
  </si>
  <si>
    <t>中半岛 2 Nueva crystal springs</t>
  </si>
  <si>
    <t>pa 2 castelija menlo</t>
  </si>
  <si>
    <t>南湾 1 harker</t>
  </si>
  <si>
    <t>1.5 9</t>
  </si>
  <si>
    <t>Marin Branson Marin academy</t>
  </si>
  <si>
    <t>半岛 Notre dame</t>
  </si>
  <si>
    <t>PA sacred heart</t>
  </si>
  <si>
    <t>南湾 basis Notre dame</t>
  </si>
  <si>
    <t>sf lick sf international urban</t>
  </si>
  <si>
    <t>Oak head Royce</t>
  </si>
  <si>
    <t>Marin 2 Branson Marin</t>
  </si>
  <si>
    <t>Oakland 3 prepare head royce bishop moreau</t>
  </si>
  <si>
    <t>Hayward 2 st Joseph</t>
  </si>
  <si>
    <t>Sf 6 university lick international urban st ignatius international</t>
  </si>
  <si>
    <t>中半岛 3 Nueva crystal springs Notre dame</t>
  </si>
  <si>
    <t>pa 4 castelija menlo sacred heart st Francis</t>
  </si>
  <si>
    <t>南湾 7 harker basis archbishop Notre dame presenation valley Christian bellarmine</t>
  </si>
  <si>
    <t>tri valley quarry</t>
  </si>
  <si>
    <t>san Ramon Athenian</t>
  </si>
  <si>
    <t>私校重镇</t>
  </si>
  <si>
    <t>oak山上</t>
  </si>
  <si>
    <t>marin</t>
  </si>
  <si>
    <t>sf</t>
  </si>
  <si>
    <t>中半岛靠南</t>
  </si>
  <si>
    <t>pa-ma</t>
  </si>
  <si>
    <t>sj</t>
  </si>
  <si>
    <t>公校片区</t>
  </si>
  <si>
    <t>顶级</t>
  </si>
  <si>
    <t>pa及周边</t>
  </si>
  <si>
    <t>cupertino及周边</t>
  </si>
  <si>
    <t>其他</t>
  </si>
  <si>
    <t>中半岛靠北</t>
  </si>
  <si>
    <t>fremont</t>
  </si>
  <si>
    <t>南sj</t>
  </si>
  <si>
    <t>pleasanton</t>
  </si>
  <si>
    <t>san Ramon valley</t>
  </si>
  <si>
    <t>Walnut Creek</t>
  </si>
  <si>
    <t>SAT</t>
  </si>
  <si>
    <t>Happy</t>
  </si>
  <si>
    <t>Competitive</t>
  </si>
  <si>
    <t>Creative</t>
  </si>
  <si>
    <t>Athletic</t>
  </si>
  <si>
    <t>Ratio</t>
  </si>
  <si>
    <t>Salary</t>
  </si>
  <si>
    <t>Spending</t>
  </si>
  <si>
    <t>Club number</t>
  </si>
  <si>
    <t>Club funding</t>
  </si>
  <si>
    <t xml:space="preserve">Club participation </t>
  </si>
  <si>
    <t>club</t>
  </si>
  <si>
    <t>Review</t>
  </si>
  <si>
    <t>white</t>
  </si>
  <si>
    <t>asian</t>
  </si>
  <si>
    <t>latino</t>
  </si>
  <si>
    <t>mixed</t>
  </si>
  <si>
    <t>black</t>
  </si>
  <si>
    <t>English</t>
  </si>
  <si>
    <t>Math</t>
  </si>
  <si>
    <t>Science</t>
  </si>
  <si>
    <t>Asian</t>
  </si>
  <si>
    <t>Niche</t>
  </si>
  <si>
    <t>USNEWS</t>
  </si>
  <si>
    <t>&gt;UC录取率</t>
  </si>
  <si>
    <t>HPM录取率</t>
  </si>
  <si>
    <t>Basis Fremont</t>
  </si>
  <si>
    <t>Basis SV</t>
  </si>
  <si>
    <t>Crystal Springs</t>
  </si>
  <si>
    <t>Mission San Jose</t>
  </si>
  <si>
    <t>Monta Vista</t>
  </si>
  <si>
    <t>Lick-wilmerding</t>
  </si>
  <si>
    <t>Homestead</t>
  </si>
  <si>
    <t>Cupertino</t>
  </si>
  <si>
    <t>American</t>
  </si>
  <si>
    <t>Amador</t>
  </si>
  <si>
    <t>Piedmont</t>
  </si>
  <si>
    <t>Miramonte</t>
  </si>
  <si>
    <t>Lowell</t>
  </si>
  <si>
    <t>Albany</t>
  </si>
  <si>
    <t>Mountain View</t>
  </si>
  <si>
    <t>Foothill</t>
  </si>
  <si>
    <t>Carlmont</t>
  </si>
  <si>
    <t>Evergreen</t>
  </si>
  <si>
    <t>Aragon</t>
  </si>
  <si>
    <t>Burlingame</t>
  </si>
  <si>
    <t>Mills</t>
  </si>
  <si>
    <t>Berkeley</t>
  </si>
  <si>
    <t>San Mateo</t>
  </si>
  <si>
    <t>Hillsdale</t>
  </si>
  <si>
    <t>Acalanes</t>
  </si>
  <si>
    <t>Monte Vista</t>
  </si>
  <si>
    <t>Las Lomas</t>
  </si>
  <si>
    <t>California</t>
  </si>
  <si>
    <t>Fremont</t>
  </si>
  <si>
    <t>San Ramon</t>
  </si>
  <si>
    <t>Sacred Heart</t>
  </si>
  <si>
    <t>St. Francis</t>
  </si>
  <si>
    <t>National Award</t>
  </si>
  <si>
    <t>HPM rate</t>
  </si>
  <si>
    <t>UCB 2020</t>
  </si>
  <si>
    <t>UCLA 2020</t>
  </si>
  <si>
    <t>UCB 2021</t>
  </si>
  <si>
    <t>UCLA 2021</t>
  </si>
  <si>
    <t>HPM18-20</t>
  </si>
  <si>
    <t>Palo alto</t>
  </si>
  <si>
    <t>Monta vista</t>
  </si>
  <si>
    <t>San ramon valley</t>
  </si>
  <si>
    <t>Mtv high</t>
  </si>
  <si>
    <t>Amador Valley</t>
  </si>
  <si>
    <t>Los gatos</t>
  </si>
  <si>
    <t>leland</t>
  </si>
  <si>
    <t>homestead</t>
  </si>
  <si>
    <t>Los altos</t>
  </si>
  <si>
    <t>mills</t>
  </si>
  <si>
    <t>foothill</t>
  </si>
  <si>
    <t>Alameda</t>
  </si>
  <si>
    <t>San mateo</t>
  </si>
  <si>
    <t>milpitas</t>
  </si>
  <si>
    <t>santa clara</t>
  </si>
  <si>
    <t>Castro valley</t>
  </si>
  <si>
    <t>harker</t>
  </si>
  <si>
    <t>menlo</t>
  </si>
  <si>
    <t>CASTILLEJA SCHOOL</t>
  </si>
  <si>
    <t>crystal springs</t>
  </si>
  <si>
    <t>evergreen valley</t>
  </si>
  <si>
    <t>Paly</t>
  </si>
  <si>
    <t xml:space="preserve">Burlingame </t>
  </si>
  <si>
    <t>berkeley</t>
  </si>
  <si>
    <t>总学生数</t>
  </si>
  <si>
    <t>白人比例</t>
  </si>
  <si>
    <t>亚裔比例</t>
  </si>
  <si>
    <t>拉丁裔比例</t>
  </si>
  <si>
    <t>混血比例</t>
  </si>
  <si>
    <t>黑人比例</t>
  </si>
  <si>
    <t>亚裔学生数</t>
  </si>
  <si>
    <t>UCLA+UCB亚裔录取人数</t>
  </si>
  <si>
    <t>亚裔录取率</t>
  </si>
  <si>
    <t>UCLA+UCB录取未去率</t>
  </si>
  <si>
    <t>St Ignatius</t>
  </si>
  <si>
    <t>Moreau</t>
  </si>
  <si>
    <t>Notre Dame Belmont</t>
  </si>
  <si>
    <t xml:space="preserve">Notre Dame San Jose </t>
  </si>
  <si>
    <t>Tamalpais</t>
  </si>
  <si>
    <t xml:space="preserve">Valley Christian </t>
  </si>
  <si>
    <t xml:space="preserve">Presentation </t>
  </si>
  <si>
    <t>Bishop Odowd</t>
  </si>
  <si>
    <t>Lick wilmerding</t>
  </si>
  <si>
    <t>St Joseph</t>
  </si>
  <si>
    <t>Redwood</t>
  </si>
  <si>
    <t xml:space="preserve">SF international </t>
  </si>
  <si>
    <t>Terra Linda</t>
  </si>
  <si>
    <t>San Marin</t>
  </si>
  <si>
    <t>Quarry lane</t>
  </si>
  <si>
    <t>Junipero</t>
  </si>
  <si>
    <t>Stanford online</t>
  </si>
  <si>
    <t>Sacred heart cathedral</t>
  </si>
  <si>
    <t>Novato</t>
  </si>
  <si>
    <t>Kings Academy</t>
  </si>
  <si>
    <t>Bentley</t>
  </si>
  <si>
    <t>Convent</t>
  </si>
  <si>
    <t>California Crosspoint</t>
  </si>
  <si>
    <t>排名</t>
  </si>
  <si>
    <t>2019-2022UCLA+UCB亚裔录取人数</t>
  </si>
  <si>
    <t>HPM</t>
  </si>
  <si>
    <t>size</t>
  </si>
  <si>
    <t>录取率</t>
  </si>
  <si>
    <t>Preparatory</t>
  </si>
  <si>
    <t>Marin Academy</t>
  </si>
  <si>
    <t>branson</t>
  </si>
  <si>
    <t>SF international</t>
  </si>
  <si>
    <t>notre dame sj</t>
  </si>
  <si>
    <t>notre dame Belmont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</si>
</sst>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-d"/>
    <numFmt numFmtId="166" formatCode="0.000%"/>
  </numFmts>
  <fonts count="2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</font>
    <font>
      <color rgb="FFFF0000"/>
      <name val="Arial"/>
      <scheme val="minor"/>
    </font>
    <font>
      <color rgb="FF000000"/>
      <name val="Arial"/>
    </font>
    <font>
      <i/>
      <color theme="1"/>
      <name val="Arial"/>
    </font>
    <font>
      <i/>
      <color rgb="FFFF0000"/>
      <name val="Arial"/>
    </font>
    <font>
      <b/>
      <color theme="1"/>
      <name val="Arial"/>
    </font>
    <font>
      <i/>
      <color rgb="FFFF0000"/>
      <name val="Arial"/>
      <scheme val="minor"/>
    </font>
    <font>
      <b/>
      <color theme="1"/>
      <name val="Arial"/>
      <scheme val="minor"/>
    </font>
    <font>
      <color rgb="FFFFFFFF"/>
      <name val="Arial"/>
    </font>
    <font>
      <b/>
      <color rgb="FF000000"/>
      <name val="Arial"/>
    </font>
    <font>
      <sz val="9.0"/>
      <color rgb="FF000000"/>
      <name val="Arial"/>
    </font>
    <font>
      <sz val="9.0"/>
      <color theme="1"/>
      <name val="Arial"/>
      <scheme val="minor"/>
    </font>
    <font>
      <sz val="9.0"/>
      <color rgb="FFFF0000"/>
      <name val="Arial"/>
    </font>
    <font>
      <b/>
      <i/>
      <sz val="9.0"/>
      <color rgb="FF000000"/>
      <name val="Arial"/>
    </font>
    <font>
      <b/>
      <i/>
      <sz val="9.0"/>
      <color rgb="FFFF0000"/>
      <name val="Arial"/>
    </font>
    <font>
      <sz val="9.0"/>
      <color rgb="FF000000"/>
      <name val="Arial"/>
      <scheme val="minor"/>
    </font>
    <font>
      <color rgb="FF000000"/>
      <name val="Arial"/>
      <scheme val="minor"/>
    </font>
    <font>
      <sz val="14.0"/>
      <color theme="1"/>
      <name val="'UICTFontTextStyleBody'"/>
    </font>
    <font>
      <sz val="14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1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0" xfId="0" applyAlignment="1" applyFon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Font="1"/>
    <xf borderId="0" fillId="0" fontId="2" numFmtId="1" xfId="0" applyFont="1" applyNumberFormat="1"/>
    <xf borderId="0" fillId="0" fontId="1" numFmtId="1" xfId="0" applyAlignment="1" applyFont="1" applyNumberFormat="1">
      <alignment vertical="bottom"/>
    </xf>
    <xf borderId="0" fillId="0" fontId="4" numFmtId="1" xfId="0" applyFont="1" applyNumberFormat="1"/>
    <xf borderId="0" fillId="0" fontId="5" numFmtId="1" xfId="0" applyAlignment="1" applyFont="1" applyNumberFormat="1">
      <alignment vertical="bottom"/>
    </xf>
    <xf borderId="0" fillId="0" fontId="4" numFmtId="164" xfId="0" applyFont="1" applyNumberFormat="1"/>
    <xf borderId="0" fillId="2" fontId="1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1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2" fontId="8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0" fontId="3" numFmtId="1" xfId="0" applyAlignment="1" applyFont="1" applyNumberFormat="1">
      <alignment horizontal="right" readingOrder="0" vertical="bottom"/>
    </xf>
    <xf borderId="0" fillId="4" fontId="8" numFmtId="0" xfId="0" applyAlignment="1" applyFill="1" applyFont="1">
      <alignment readingOrder="0" vertical="bottom"/>
    </xf>
    <xf borderId="0" fillId="5" fontId="8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9" numFmtId="1" xfId="0" applyFont="1" applyNumberFormat="1"/>
    <xf borderId="0" fillId="0" fontId="9" numFmtId="164" xfId="0" applyFont="1" applyNumberFormat="1"/>
    <xf borderId="0" fillId="0" fontId="6" numFmtId="1" xfId="0" applyAlignment="1" applyFont="1" applyNumberFormat="1">
      <alignment vertical="bottom"/>
    </xf>
    <xf borderId="0" fillId="5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6" fontId="1" numFmtId="0" xfId="0" applyAlignment="1" applyFill="1" applyFont="1">
      <alignment vertical="bottom"/>
    </xf>
    <xf borderId="0" fillId="6" fontId="8" numFmtId="0" xfId="0" applyAlignment="1" applyFill="1" applyFont="1">
      <alignment vertical="bottom"/>
    </xf>
    <xf borderId="0" fillId="6" fontId="10" numFmtId="0" xfId="0" applyAlignment="1" applyFill="1" applyFont="1">
      <alignment readingOrder="0"/>
    </xf>
    <xf borderId="0" fillId="0" fontId="2" numFmtId="164" xfId="0" applyFont="1" applyNumberFormat="1"/>
    <xf borderId="0" fillId="7" fontId="1" numFmtId="0" xfId="0" applyAlignment="1" applyFill="1" applyFont="1">
      <alignment vertical="bottom"/>
    </xf>
    <xf borderId="0" fillId="3" fontId="1" numFmtId="0" xfId="0" applyAlignment="1" applyFill="1" applyFont="1">
      <alignment readingOrder="0" vertical="bottom"/>
    </xf>
    <xf borderId="0" fillId="8" fontId="1" numFmtId="0" xfId="0" applyAlignment="1" applyFill="1" applyFont="1">
      <alignment vertical="bottom"/>
    </xf>
    <xf borderId="0" fillId="8" fontId="8" numFmtId="0" xfId="0" applyAlignment="1" applyFill="1" applyFont="1">
      <alignment vertical="bottom"/>
    </xf>
    <xf borderId="0" fillId="8" fontId="1" numFmtId="0" xfId="0" applyAlignment="1" applyFill="1" applyFont="1">
      <alignment readingOrder="0" vertical="bottom"/>
    </xf>
    <xf borderId="0" fillId="0" fontId="11" numFmtId="0" xfId="0" applyAlignment="1" applyFont="1">
      <alignment vertical="bottom"/>
    </xf>
    <xf borderId="0" fillId="9" fontId="12" numFmtId="0" xfId="0" applyAlignment="1" applyFill="1" applyFont="1">
      <alignment vertical="bottom"/>
    </xf>
    <xf borderId="0" fillId="9" fontId="5" numFmtId="0" xfId="0" applyAlignment="1" applyFill="1" applyFont="1">
      <alignment vertical="bottom"/>
    </xf>
    <xf borderId="0" fillId="10" fontId="10" numFmtId="0" xfId="0" applyAlignment="1" applyFill="1" applyFont="1">
      <alignment readingOrder="0"/>
    </xf>
    <xf borderId="0" fillId="10" fontId="1" numFmtId="0" xfId="0" applyAlignment="1" applyFill="1" applyFont="1">
      <alignment vertical="bottom"/>
    </xf>
    <xf borderId="0" fillId="10" fontId="8" numFmtId="0" xfId="0" applyAlignment="1" applyFill="1" applyFont="1">
      <alignment readingOrder="0" vertical="bottom"/>
    </xf>
    <xf borderId="0" fillId="10" fontId="8" numFmtId="0" xfId="0" applyAlignment="1" applyFill="1" applyFont="1">
      <alignment vertical="bottom"/>
    </xf>
    <xf borderId="0" fillId="10" fontId="1" numFmtId="0" xfId="0" applyAlignment="1" applyFill="1" applyFont="1">
      <alignment readingOrder="0" vertical="bottom"/>
    </xf>
    <xf borderId="0" fillId="11" fontId="1" numFmtId="0" xfId="0" applyAlignment="1" applyFill="1" applyFont="1">
      <alignment vertical="bottom"/>
    </xf>
    <xf borderId="0" fillId="11" fontId="1" numFmtId="0" xfId="0" applyAlignment="1" applyFill="1" applyFont="1">
      <alignment readingOrder="0" vertical="bottom"/>
    </xf>
    <xf borderId="0" fillId="0" fontId="13" numFmtId="1" xfId="0" applyAlignment="1" applyFont="1" applyNumberFormat="1">
      <alignment horizontal="left" readingOrder="0" shrinkToFit="0" vertical="bottom" wrapText="1"/>
    </xf>
    <xf borderId="0" fillId="0" fontId="13" numFmtId="1" xfId="0" applyAlignment="1" applyFont="1" applyNumberForma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3" numFmtId="1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/>
    </xf>
    <xf borderId="0" fillId="0" fontId="13" numFmtId="1" xfId="0" applyAlignment="1" applyFont="1" applyNumberFormat="1">
      <alignment horizontal="left" readingOrder="0" vertical="bottom"/>
    </xf>
    <xf borderId="0" fillId="4" fontId="13" numFmtId="1" xfId="0" applyAlignment="1" applyFill="1" applyFont="1" applyNumberFormat="1">
      <alignment horizontal="left" vertical="bottom"/>
    </xf>
    <xf borderId="0" fillId="0" fontId="13" numFmtId="1" xfId="0" applyAlignment="1" applyFont="1" applyNumberFormat="1">
      <alignment vertical="bottom"/>
    </xf>
    <xf borderId="0" fillId="0" fontId="15" numFmtId="1" xfId="0" applyAlignment="1" applyFont="1" applyNumberFormat="1">
      <alignment vertical="bottom"/>
    </xf>
    <xf borderId="0" fillId="5" fontId="13" numFmtId="1" xfId="0" applyAlignment="1" applyFill="1" applyFont="1" applyNumberFormat="1">
      <alignment horizontal="left" vertical="bottom"/>
    </xf>
    <xf borderId="0" fillId="0" fontId="16" numFmtId="1" xfId="0" applyAlignment="1" applyFont="1" applyNumberFormat="1">
      <alignment vertical="bottom"/>
    </xf>
    <xf borderId="0" fillId="0" fontId="17" numFmtId="1" xfId="0" applyAlignment="1" applyFont="1" applyNumberFormat="1">
      <alignment vertical="bottom"/>
    </xf>
    <xf borderId="0" fillId="6" fontId="13" numFmtId="1" xfId="0" applyAlignment="1" applyFill="1" applyFont="1" applyNumberFormat="1">
      <alignment horizontal="left" vertical="bottom"/>
    </xf>
    <xf borderId="0" fillId="7" fontId="13" numFmtId="1" xfId="0" applyAlignment="1" applyFill="1" applyFont="1" applyNumberFormat="1">
      <alignment horizontal="left" vertical="bottom"/>
    </xf>
    <xf borderId="0" fillId="9" fontId="13" numFmtId="1" xfId="0" applyAlignment="1" applyFill="1" applyFont="1" applyNumberFormat="1">
      <alignment horizontal="left" vertical="bottom"/>
    </xf>
    <xf borderId="0" fillId="10" fontId="13" numFmtId="1" xfId="0" applyAlignment="1" applyFill="1" applyFont="1" applyNumberFormat="1">
      <alignment horizontal="left" vertical="bottom"/>
    </xf>
    <xf borderId="0" fillId="6" fontId="13" numFmtId="1" xfId="0" applyAlignment="1" applyFill="1" applyFont="1" applyNumberFormat="1">
      <alignment horizontal="left" readingOrder="0" vertical="bottom"/>
    </xf>
    <xf borderId="0" fillId="7" fontId="13" numFmtId="1" xfId="0" applyAlignment="1" applyFill="1" applyFont="1" applyNumberFormat="1">
      <alignment horizontal="left" readingOrder="0" vertical="bottom"/>
    </xf>
    <xf borderId="0" fillId="8" fontId="18" numFmtId="0" xfId="0" applyAlignment="1" applyFill="1" applyFont="1">
      <alignment horizontal="left"/>
    </xf>
    <xf borderId="0" fillId="8" fontId="18" numFmtId="1" xfId="0" applyAlignment="1" applyFill="1" applyFont="1" applyNumberFormat="1">
      <alignment horizontal="left"/>
    </xf>
    <xf borderId="0" fillId="9" fontId="18" numFmtId="1" xfId="0" applyAlignment="1" applyFill="1" applyFont="1" applyNumberFormat="1">
      <alignment horizontal="left"/>
    </xf>
    <xf borderId="0" fillId="10" fontId="18" numFmtId="1" xfId="0" applyAlignment="1" applyFill="1" applyFont="1" applyNumberFormat="1">
      <alignment horizontal="left"/>
    </xf>
    <xf borderId="0" fillId="10" fontId="18" numFmtId="0" xfId="0" applyAlignment="1" applyFill="1" applyFont="1">
      <alignment horizontal="left"/>
    </xf>
    <xf borderId="0" fillId="0" fontId="14" numFmtId="0" xfId="0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5" numFmtId="1" xfId="0" applyAlignment="1" applyFont="1" applyNumberFormat="1">
      <alignment horizontal="left" readingOrder="0" vertical="bottom"/>
    </xf>
    <xf borderId="0" fillId="0" fontId="1" numFmtId="1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1" numFmtId="1" xfId="0" applyAlignment="1" applyFont="1" applyNumberFormat="1">
      <alignment horizontal="right"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3" fontId="5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0" fontId="1" numFmtId="1" xfId="0" applyAlignment="1" applyFont="1" applyNumberFormat="1">
      <alignment horizontal="right" shrinkToFit="0" vertical="bottom" wrapText="1"/>
    </xf>
    <xf borderId="0" fillId="6" fontId="1" numFmtId="0" xfId="0" applyAlignment="1" applyFill="1" applyFont="1">
      <alignment readingOrder="0" vertical="bottom"/>
    </xf>
    <xf borderId="0" fillId="0" fontId="19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" xfId="0" applyAlignment="1" applyFont="1" applyNumberFormat="1">
      <alignment readingOrder="0" vertical="bottom"/>
    </xf>
    <xf borderId="0" fillId="0" fontId="19" numFmtId="1" xfId="0" applyFont="1" applyNumberFormat="1"/>
    <xf borderId="0" fillId="0" fontId="5" numFmtId="1" xfId="0" applyAlignment="1" applyFont="1" applyNumberFormat="1">
      <alignment horizontal="right" vertical="bottom"/>
    </xf>
    <xf borderId="0" fillId="0" fontId="2" numFmtId="0" xfId="0" applyAlignment="1" applyFont="1">
      <alignment horizontal="left" readingOrder="0"/>
    </xf>
    <xf borderId="0" fillId="0" fontId="19" numFmtId="1" xfId="0" applyAlignment="1" applyFont="1" applyNumberFormat="1">
      <alignment horizontal="left" readingOrder="0"/>
    </xf>
    <xf borderId="0" fillId="3" fontId="5" numFmtId="0" xfId="0" applyAlignment="1" applyFill="1" applyFon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5" numFmtId="1" xfId="0" applyAlignment="1" applyFont="1" applyNumberFormat="1">
      <alignment horizontal="left" vertical="bottom"/>
    </xf>
    <xf borderId="0" fillId="0" fontId="19" numFmtId="0" xfId="0" applyFont="1"/>
    <xf borderId="0" fillId="0" fontId="19" numFmtId="0" xfId="0" applyAlignment="1" applyFont="1">
      <alignment horizontal="left"/>
    </xf>
    <xf borderId="0" fillId="0" fontId="19" numFmtId="1" xfId="0" applyAlignment="1" applyFont="1" applyNumberFormat="1">
      <alignment horizontal="left"/>
    </xf>
    <xf borderId="0" fillId="0" fontId="20" numFmtId="0" xfId="0" applyAlignment="1" applyFont="1">
      <alignment readingOrder="0"/>
    </xf>
    <xf borderId="0" fillId="0" fontId="20" numFmtId="9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0" numFmtId="0" xfId="0" applyFont="1"/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2" numFmtId="10" xfId="0" applyFont="1" applyNumberFormat="1"/>
    <xf borderId="0" fillId="0" fontId="2" numFmtId="166" xfId="0" applyFont="1" applyNumberFormat="1"/>
    <xf borderId="0" fillId="4" fontId="1" numFmtId="0" xfId="0" applyAlignment="1" applyFill="1" applyFont="1">
      <alignment readingOrder="0" vertical="bottom"/>
    </xf>
    <xf borderId="0" fillId="0" fontId="2" numFmtId="1" xfId="0" applyAlignment="1" applyFont="1" applyNumberFormat="1">
      <alignment readingOrder="0"/>
    </xf>
    <xf borderId="0" fillId="0" fontId="13" numFmtId="1" xfId="0" applyAlignment="1" applyFont="1" applyNumberFormat="1">
      <alignment horizontal="left" vertical="bottom"/>
    </xf>
    <xf borderId="0" fillId="0" fontId="18" numFmtId="0" xfId="0" applyAlignment="1" applyFont="1">
      <alignment horizontal="left" readingOrder="0"/>
    </xf>
    <xf borderId="0" fillId="0" fontId="18" numFmtId="0" xfId="0" applyAlignment="1" applyFont="1">
      <alignment horizontal="left"/>
    </xf>
    <xf borderId="0" fillId="0" fontId="18" numFmtId="1" xfId="0" applyAlignment="1" applyFont="1" applyNumberFormat="1">
      <alignment horizontal="left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4.5"/>
    <col customWidth="1" min="2" max="2" width="11.38"/>
    <col customWidth="1" min="3" max="3" width="3.75"/>
    <col customWidth="1" min="4" max="4" width="4.75"/>
    <col customWidth="1" min="5" max="5" width="10.88"/>
    <col customWidth="1" min="6" max="6" width="3.75"/>
    <col customWidth="1" min="7" max="7" width="4.63"/>
    <col customWidth="1" min="8" max="8" width="9.0"/>
    <col customWidth="1" min="9" max="9" width="3.75"/>
    <col customWidth="1" min="10" max="10" width="4.75"/>
    <col customWidth="1" min="11" max="11" width="9.0"/>
    <col customWidth="1" min="12" max="12" width="3.75"/>
    <col customWidth="1" min="13" max="13" width="4.63"/>
    <col customWidth="1" min="14" max="14" width="12.75"/>
    <col customWidth="1" min="15" max="16" width="3.75"/>
    <col customWidth="1" min="17" max="17" width="15.5"/>
    <col customWidth="1" min="18" max="18" width="15.88"/>
    <col customWidth="1" min="19" max="19" width="3.75"/>
    <col customWidth="1" min="20" max="20" width="4.75"/>
    <col customWidth="1" min="21" max="21" width="9.0"/>
    <col customWidth="1" min="22" max="23" width="3.75"/>
    <col customWidth="1" min="24" max="24" width="9.0"/>
    <col customWidth="1" min="25" max="25" width="13.75"/>
    <col customWidth="1" min="26" max="26" width="3.75"/>
    <col customWidth="1" min="27" max="27" width="9.0"/>
    <col customWidth="1" min="28" max="28" width="4.75"/>
    <col customWidth="1" min="29" max="29" width="3.75"/>
    <col customWidth="1" min="30" max="30" width="10.13"/>
    <col customWidth="1" min="31" max="31" width="4.63"/>
    <col customWidth="1" min="32" max="32" width="3.75"/>
    <col customWidth="1" min="33" max="33" width="9.0"/>
    <col customWidth="1" min="34" max="34" width="4.75"/>
    <col customWidth="1" min="35" max="35" width="3.75"/>
    <col customWidth="1" min="36" max="38" width="5.38"/>
    <col customWidth="1" min="39" max="39" width="8.5"/>
    <col customWidth="1" min="40" max="41" width="3.75"/>
    <col customWidth="1" min="42" max="42" width="9.0"/>
    <col customWidth="1" min="43" max="43" width="4.75"/>
    <col customWidth="1" min="44" max="44" width="3.75"/>
    <col customWidth="1" min="45" max="45" width="9.0"/>
    <col customWidth="1" min="46" max="46" width="4.75"/>
    <col customWidth="1" min="47" max="47" width="3.75"/>
    <col customWidth="1" min="48" max="48" width="9.0"/>
    <col customWidth="1" min="49" max="49" width="4.75"/>
    <col customWidth="1" min="50" max="50" width="3.75"/>
    <col customWidth="1" min="51" max="51" width="2.38"/>
    <col customWidth="1" min="52" max="55" width="4.75"/>
    <col customWidth="1" min="56" max="56" width="5.13"/>
    <col customWidth="1" min="57" max="57" width="7.75"/>
    <col customWidth="1" min="58" max="59" width="3.75"/>
    <col customWidth="1" min="60" max="60" width="8.75"/>
    <col customWidth="1" min="61" max="64" width="4.75"/>
    <col customWidth="1" min="65" max="65" width="3.75"/>
    <col customWidth="1" min="66" max="66" width="9.0"/>
    <col customWidth="1" min="67" max="67" width="4.75"/>
    <col customWidth="1" min="68" max="68" width="3.75"/>
    <col customWidth="1" min="69" max="70" width="4.75"/>
    <col customWidth="1" min="71" max="71" width="3.75"/>
    <col customWidth="1" min="72" max="72" width="6.0"/>
    <col customWidth="1" min="73" max="74" width="3.75"/>
    <col customWidth="1" min="75" max="75" width="4.5"/>
    <col customWidth="1" min="76" max="76" width="9.0"/>
    <col customWidth="1" min="77" max="77" width="3.75"/>
    <col customWidth="1" min="78" max="78" width="8.63"/>
    <col customWidth="1" min="79" max="80" width="3.75"/>
    <col customWidth="1" min="81" max="81" width="7.38"/>
    <col customWidth="1" min="82" max="83" width="3.75"/>
    <col customWidth="1" min="84" max="84" width="5.75"/>
    <col customWidth="1" min="85" max="88" width="4.75"/>
    <col customWidth="1" min="89" max="89" width="3.75"/>
    <col customWidth="1" min="90" max="90" width="8.38"/>
    <col customWidth="1" min="91" max="94" width="4.75"/>
    <col customWidth="1" min="95" max="95" width="3.75"/>
    <col customWidth="1" min="96" max="96" width="9.0"/>
    <col customWidth="1" min="97" max="97" width="4.75"/>
    <col customWidth="1" min="98" max="98" width="3.75"/>
    <col customWidth="1" min="99" max="99" width="6.63"/>
    <col customWidth="1" min="100" max="101" width="3.75"/>
    <col customWidth="1" min="112" max="114" width="5.38"/>
  </cols>
  <sheetData>
    <row r="1">
      <c r="A1" s="1"/>
      <c r="B1" s="2" t="s">
        <v>0</v>
      </c>
      <c r="E1" s="3" t="s">
        <v>1</v>
      </c>
      <c r="F1" s="1"/>
      <c r="G1" s="1"/>
      <c r="H1" s="3" t="s">
        <v>2</v>
      </c>
      <c r="I1" s="1"/>
      <c r="J1" s="1"/>
      <c r="K1" s="3" t="s">
        <v>3</v>
      </c>
      <c r="L1" s="1"/>
      <c r="M1" s="1"/>
      <c r="N1" s="3" t="s">
        <v>4</v>
      </c>
      <c r="O1" s="3"/>
      <c r="P1" s="3"/>
      <c r="Q1" s="3" t="s">
        <v>5</v>
      </c>
      <c r="R1" s="1"/>
      <c r="S1" s="1"/>
      <c r="T1" s="1"/>
      <c r="U1" s="3" t="s">
        <v>6</v>
      </c>
      <c r="V1" s="3"/>
      <c r="W1" s="3"/>
      <c r="X1" s="3" t="s">
        <v>7</v>
      </c>
      <c r="Y1" s="1"/>
      <c r="Z1" s="4"/>
      <c r="AA1" s="3" t="s">
        <v>8</v>
      </c>
      <c r="AB1" s="1"/>
      <c r="AC1" s="4"/>
      <c r="AD1" s="2" t="s">
        <v>9</v>
      </c>
      <c r="AG1" s="3" t="s">
        <v>10</v>
      </c>
      <c r="AH1" s="1"/>
      <c r="AI1" s="4"/>
      <c r="AJ1" s="3" t="s">
        <v>11</v>
      </c>
      <c r="AK1" s="3"/>
      <c r="AL1" s="3"/>
      <c r="AM1" s="3" t="s">
        <v>12</v>
      </c>
      <c r="AN1" s="3"/>
      <c r="AO1" s="3"/>
      <c r="AP1" s="1" t="s">
        <v>13</v>
      </c>
      <c r="AQ1" s="1"/>
      <c r="AR1" s="4"/>
      <c r="AS1" s="1" t="s">
        <v>14</v>
      </c>
      <c r="AT1" s="1"/>
      <c r="AU1" s="4"/>
      <c r="AV1" s="3" t="s">
        <v>15</v>
      </c>
      <c r="AW1" s="1"/>
      <c r="AX1" s="4"/>
      <c r="AY1" s="1"/>
      <c r="AZ1" s="1" t="s">
        <v>16</v>
      </c>
      <c r="BC1" s="1"/>
      <c r="BD1" s="5"/>
      <c r="BE1" s="3" t="s">
        <v>17</v>
      </c>
      <c r="BF1" s="1"/>
      <c r="BG1" s="4"/>
      <c r="BH1" s="3" t="s">
        <v>18</v>
      </c>
      <c r="BI1" s="3"/>
      <c r="BL1" s="1"/>
      <c r="BM1" s="4"/>
      <c r="BN1" s="1" t="s">
        <v>19</v>
      </c>
      <c r="BO1" s="1"/>
      <c r="BP1" s="4"/>
      <c r="BQ1" s="1" t="s">
        <v>20</v>
      </c>
      <c r="BR1" s="1"/>
      <c r="BS1" s="4"/>
      <c r="BT1" s="6" t="s">
        <v>21</v>
      </c>
      <c r="BU1" s="6"/>
      <c r="BV1" s="6"/>
      <c r="BW1" s="1" t="s">
        <v>22</v>
      </c>
      <c r="BX1" s="1"/>
      <c r="BY1" s="4"/>
      <c r="BZ1" s="1" t="s">
        <v>23</v>
      </c>
      <c r="CA1" s="1"/>
      <c r="CB1" s="4"/>
      <c r="CC1" s="3" t="s">
        <v>24</v>
      </c>
      <c r="CD1" s="1"/>
      <c r="CE1" s="4"/>
      <c r="CF1" s="6" t="s">
        <v>25</v>
      </c>
      <c r="CK1" s="1"/>
      <c r="CL1" s="6" t="s">
        <v>26</v>
      </c>
      <c r="CM1" s="6"/>
      <c r="CN1" s="6"/>
      <c r="CO1" s="6"/>
      <c r="CP1" s="6"/>
      <c r="CQ1" s="6"/>
      <c r="CR1" s="6" t="s">
        <v>27</v>
      </c>
      <c r="CS1" s="1"/>
      <c r="CT1" s="4"/>
      <c r="CU1" s="2" t="s">
        <v>28</v>
      </c>
      <c r="DH1" s="3"/>
      <c r="DI1" s="3"/>
      <c r="DJ1" s="3"/>
    </row>
    <row r="2">
      <c r="A2" s="1"/>
      <c r="B2" s="2" t="s">
        <v>29</v>
      </c>
      <c r="E2" s="2" t="s">
        <v>30</v>
      </c>
      <c r="F2" s="2"/>
      <c r="G2" s="2"/>
      <c r="H2" s="2" t="s">
        <v>31</v>
      </c>
      <c r="I2" s="2"/>
      <c r="J2" s="2"/>
      <c r="K2" s="2" t="s">
        <v>32</v>
      </c>
      <c r="L2" s="2"/>
      <c r="M2" s="2"/>
      <c r="N2" s="2" t="s">
        <v>33</v>
      </c>
      <c r="O2" s="2"/>
      <c r="P2" s="2"/>
      <c r="Q2" s="3" t="s">
        <v>34</v>
      </c>
      <c r="R2" s="3" t="s">
        <v>35</v>
      </c>
      <c r="S2" s="1"/>
      <c r="T2" s="1"/>
      <c r="U2" s="2" t="s">
        <v>36</v>
      </c>
      <c r="V2" s="2"/>
      <c r="W2" s="2"/>
      <c r="X2" s="2" t="s">
        <v>37</v>
      </c>
      <c r="Y2" s="7"/>
      <c r="Z2" s="8"/>
      <c r="AA2" s="2" t="s">
        <v>38</v>
      </c>
      <c r="AB2" s="7"/>
      <c r="AC2" s="8"/>
      <c r="AD2" s="2" t="s">
        <v>39</v>
      </c>
      <c r="AG2" s="2" t="s">
        <v>40</v>
      </c>
      <c r="AH2" s="7"/>
      <c r="AI2" s="8"/>
      <c r="AJ2" s="2">
        <v>2019.0</v>
      </c>
      <c r="AK2" s="2"/>
      <c r="AL2" s="2"/>
      <c r="AM2" s="2">
        <v>2023.0</v>
      </c>
      <c r="AN2" s="2"/>
      <c r="AO2" s="2"/>
      <c r="AP2" s="2" t="s">
        <v>40</v>
      </c>
      <c r="AQ2" s="7"/>
      <c r="AR2" s="8"/>
      <c r="AS2" s="2" t="s">
        <v>40</v>
      </c>
      <c r="AT2" s="7"/>
      <c r="AU2" s="8"/>
      <c r="AV2" s="2" t="s">
        <v>39</v>
      </c>
      <c r="AW2" s="7"/>
      <c r="AX2" s="8"/>
      <c r="AY2" s="2"/>
      <c r="AZ2" s="2">
        <v>2016.0</v>
      </c>
      <c r="BA2" s="2">
        <v>2018.0</v>
      </c>
      <c r="BB2" s="2">
        <v>2020.0</v>
      </c>
      <c r="BC2" s="7"/>
      <c r="BD2" s="9"/>
      <c r="BE2" s="2">
        <v>2017.0</v>
      </c>
      <c r="BF2" s="7"/>
      <c r="BG2" s="8"/>
      <c r="BH2" s="3">
        <v>2020.0</v>
      </c>
      <c r="BI2" s="3">
        <v>2019.0</v>
      </c>
      <c r="BJ2" s="2">
        <v>2018.0</v>
      </c>
      <c r="BK2" s="2">
        <v>2017.0</v>
      </c>
      <c r="BL2" s="1"/>
      <c r="BM2" s="8"/>
      <c r="BN2" s="2" t="s">
        <v>31</v>
      </c>
      <c r="BO2" s="7"/>
      <c r="BP2" s="8"/>
      <c r="BQ2" s="2">
        <v>2022.0</v>
      </c>
      <c r="BR2" s="7"/>
      <c r="BS2" s="8"/>
      <c r="BT2" s="10">
        <v>2020.0</v>
      </c>
      <c r="BU2" s="11"/>
      <c r="BV2" s="11"/>
      <c r="BX2" s="12" t="s">
        <v>31</v>
      </c>
      <c r="BY2" s="8"/>
      <c r="BZ2" s="2">
        <v>2022.0</v>
      </c>
      <c r="CA2" s="7"/>
      <c r="CB2" s="8"/>
      <c r="CC2" s="2">
        <v>2017.0</v>
      </c>
      <c r="CD2" s="7"/>
      <c r="CE2" s="8"/>
      <c r="CF2" s="12">
        <v>2022.0</v>
      </c>
      <c r="CG2" s="10">
        <v>2021.0</v>
      </c>
      <c r="CH2" s="2">
        <v>2020.0</v>
      </c>
      <c r="CI2" s="2">
        <v>2019.0</v>
      </c>
      <c r="CK2" s="1"/>
      <c r="CL2" s="10">
        <v>2020.0</v>
      </c>
      <c r="CM2" s="10">
        <v>2019.0</v>
      </c>
      <c r="CN2" s="10">
        <v>2018.0</v>
      </c>
      <c r="CO2" s="10">
        <v>2017.0</v>
      </c>
      <c r="CP2" s="11"/>
      <c r="CQ2" s="11"/>
      <c r="CR2" s="10" t="s">
        <v>41</v>
      </c>
      <c r="CS2" s="7"/>
      <c r="CT2" s="8"/>
      <c r="CU2" s="2">
        <v>2021.0</v>
      </c>
      <c r="DH2" s="2"/>
      <c r="DI2" s="2"/>
      <c r="DJ2" s="2"/>
    </row>
    <row r="3">
      <c r="A3" s="1"/>
      <c r="B3" s="13">
        <f>380/4</f>
        <v>95</v>
      </c>
      <c r="C3" s="13">
        <f>B3*5</f>
        <v>475</v>
      </c>
      <c r="E3" s="2">
        <v>120.0</v>
      </c>
      <c r="F3" s="13">
        <f>E3*5</f>
        <v>600</v>
      </c>
      <c r="H3" s="13">
        <f>370/4</f>
        <v>92.5</v>
      </c>
      <c r="I3" s="14">
        <f>H3*3</f>
        <v>277.5</v>
      </c>
      <c r="K3" s="2">
        <v>134.0</v>
      </c>
      <c r="L3" s="13">
        <f>K3*4</f>
        <v>536</v>
      </c>
      <c r="N3" s="2">
        <v>93.0</v>
      </c>
      <c r="O3" s="2">
        <f>N3*6</f>
        <v>558</v>
      </c>
      <c r="P3" s="2"/>
      <c r="Q3" s="1">
        <f t="shared" ref="Q3:R3" si="1">950/4</f>
        <v>237.5</v>
      </c>
      <c r="R3" s="1">
        <f t="shared" si="1"/>
        <v>237.5</v>
      </c>
      <c r="S3" s="1">
        <f>sum(Q3:R3)</f>
        <v>475</v>
      </c>
      <c r="T3" s="8"/>
      <c r="U3" s="2">
        <v>105.0</v>
      </c>
      <c r="V3" s="2">
        <f>U3*5</f>
        <v>525</v>
      </c>
      <c r="W3" s="2"/>
      <c r="X3" s="2">
        <v>379.0</v>
      </c>
      <c r="Y3" s="12">
        <f>X3/4*5</f>
        <v>473.75</v>
      </c>
      <c r="Z3" s="8"/>
      <c r="AA3" s="2">
        <v>600.0</v>
      </c>
      <c r="AB3" s="12">
        <v>600.0</v>
      </c>
      <c r="AC3" s="8"/>
      <c r="AD3" s="13">
        <f>375/4</f>
        <v>93.75</v>
      </c>
      <c r="AE3" s="13">
        <f>AD3*5</f>
        <v>468.75</v>
      </c>
      <c r="AG3" s="2">
        <v>573.0</v>
      </c>
      <c r="AH3" s="12">
        <v>573.0</v>
      </c>
      <c r="AI3" s="8"/>
      <c r="AJ3" s="2">
        <v>398.0</v>
      </c>
      <c r="AK3" s="11">
        <f>AJ3</f>
        <v>398</v>
      </c>
      <c r="AL3" s="11"/>
      <c r="AM3" s="2">
        <v>246.0</v>
      </c>
      <c r="AN3" s="11">
        <f>AM3</f>
        <v>246</v>
      </c>
      <c r="AO3" s="11"/>
      <c r="AQ3" s="7">
        <v>1986.0</v>
      </c>
      <c r="AR3" s="8"/>
      <c r="AT3" s="7">
        <v>2035.0</v>
      </c>
      <c r="AU3" s="8"/>
      <c r="AW3" s="12">
        <v>2160.0</v>
      </c>
      <c r="AX3" s="8"/>
      <c r="AY3" s="2"/>
      <c r="AZ3" s="2">
        <v>550.0</v>
      </c>
      <c r="BA3" s="7">
        <v>535.0</v>
      </c>
      <c r="BB3" s="2">
        <v>476.0</v>
      </c>
      <c r="BC3" s="13">
        <f>BB3+BA3+AZ3</f>
        <v>1561</v>
      </c>
      <c r="BD3" s="9"/>
      <c r="BF3" s="12">
        <v>337.0</v>
      </c>
      <c r="BG3" s="8"/>
      <c r="BH3" s="3">
        <v>817.0</v>
      </c>
      <c r="BI3" s="3">
        <v>763.0</v>
      </c>
      <c r="BJ3" s="2">
        <v>738.0</v>
      </c>
      <c r="BK3" s="2">
        <v>633.0</v>
      </c>
      <c r="BL3" s="1">
        <f>sum(BH3:BK3)</f>
        <v>2951</v>
      </c>
      <c r="BM3" s="8"/>
      <c r="BO3" s="7">
        <f>499+513+548</f>
        <v>1560</v>
      </c>
      <c r="BP3" s="8"/>
      <c r="BR3" s="7">
        <v>2013.0</v>
      </c>
      <c r="BS3" s="8"/>
      <c r="BT3" s="11">
        <f>1923/4</f>
        <v>480.75</v>
      </c>
      <c r="BU3" s="11">
        <f>BT3</f>
        <v>480.75</v>
      </c>
      <c r="BV3" s="11"/>
      <c r="BX3" s="7">
        <f>442+463+463</f>
        <v>1368</v>
      </c>
      <c r="BY3" s="8"/>
      <c r="CA3" s="7">
        <v>530.0</v>
      </c>
      <c r="CB3" s="8"/>
      <c r="CD3" s="12">
        <v>539.0</v>
      </c>
      <c r="CE3" s="8"/>
      <c r="CF3" s="12">
        <v>769.0</v>
      </c>
      <c r="CG3" s="10">
        <v>735.0</v>
      </c>
      <c r="CH3" s="2">
        <v>703.0</v>
      </c>
      <c r="CI3" s="2">
        <v>629.0</v>
      </c>
      <c r="CJ3" s="1">
        <f>sum(CF3:CI3)</f>
        <v>2836</v>
      </c>
      <c r="CK3" s="8"/>
      <c r="CL3" s="11">
        <f t="shared" ref="CL3:CO3" si="2">1492/4</f>
        <v>373</v>
      </c>
      <c r="CM3" s="11">
        <f t="shared" si="2"/>
        <v>373</v>
      </c>
      <c r="CN3" s="11">
        <f t="shared" si="2"/>
        <v>373</v>
      </c>
      <c r="CO3" s="11">
        <f t="shared" si="2"/>
        <v>373</v>
      </c>
      <c r="CP3" s="15">
        <f>sum(CL3:CO3)</f>
        <v>1492</v>
      </c>
      <c r="CQ3" s="8"/>
      <c r="CR3" s="11"/>
      <c r="CS3" s="10">
        <v>2713.5</v>
      </c>
      <c r="CT3" s="8"/>
      <c r="CU3" s="13">
        <f>3077/4</f>
        <v>769.25</v>
      </c>
      <c r="CV3" s="11">
        <f>CU3</f>
        <v>769.25</v>
      </c>
      <c r="CW3" s="11"/>
    </row>
    <row r="4">
      <c r="A4" s="3"/>
      <c r="D4" s="16">
        <f>D5/2</f>
        <v>67.36842105</v>
      </c>
      <c r="G4" s="16">
        <f>G5/2</f>
        <v>70</v>
      </c>
      <c r="J4" s="16">
        <f>J5/2</f>
        <v>79.27927928</v>
      </c>
      <c r="M4" s="16">
        <f>M5/2</f>
        <v>108.2089552</v>
      </c>
      <c r="P4" s="16">
        <f>P5/2</f>
        <v>73.47670251</v>
      </c>
      <c r="S4" s="17"/>
      <c r="T4" s="16">
        <f>T5/2</f>
        <v>328.4210526</v>
      </c>
      <c r="V4" s="2"/>
      <c r="W4" s="16">
        <f>W5/2</f>
        <v>53.33333333</v>
      </c>
      <c r="Y4" s="2"/>
      <c r="Z4" s="16">
        <f>Z5/2</f>
        <v>52.77044855</v>
      </c>
      <c r="AB4" s="2"/>
      <c r="AC4" s="16">
        <f>AC5/2</f>
        <v>120</v>
      </c>
      <c r="AE4" s="2"/>
      <c r="AF4" s="16">
        <f>AF5/2</f>
        <v>98.13333333</v>
      </c>
      <c r="AH4" s="2"/>
      <c r="AI4" s="16">
        <f>AI5/2</f>
        <v>61.08202443</v>
      </c>
      <c r="AK4" s="2"/>
      <c r="AL4" s="16">
        <f>AL5/2</f>
        <v>72.86432161</v>
      </c>
      <c r="AN4" s="2"/>
      <c r="AO4" s="16">
        <f>AO5/2</f>
        <v>154.4715447</v>
      </c>
      <c r="AQ4" s="2"/>
      <c r="AR4" s="16">
        <f>AR5/2</f>
        <v>130.4128902</v>
      </c>
      <c r="AT4" s="2"/>
      <c r="AU4" s="16">
        <f>AU5/2</f>
        <v>114.004914</v>
      </c>
      <c r="AW4" s="2"/>
      <c r="AX4" s="16">
        <f>AX5/2</f>
        <v>219.9074074</v>
      </c>
      <c r="BC4" s="1"/>
      <c r="BD4" s="18">
        <f>BD5/2</f>
        <v>273.5426009</v>
      </c>
      <c r="BF4" s="2"/>
      <c r="BG4" s="16">
        <f>BG5/2</f>
        <v>103.8575668</v>
      </c>
      <c r="BL4" s="1"/>
      <c r="BM4" s="16">
        <f>BM5/2</f>
        <v>222.2975263</v>
      </c>
      <c r="BO4" s="2"/>
      <c r="BP4" s="16">
        <f>BP5/2</f>
        <v>129.4871795</v>
      </c>
      <c r="BR4" s="2"/>
      <c r="BS4" s="16">
        <f>BS5/2</f>
        <v>72.03179334</v>
      </c>
      <c r="BU4" s="2"/>
      <c r="BV4" s="16">
        <f>BV5/2</f>
        <v>126.8850754</v>
      </c>
      <c r="BX4" s="2"/>
      <c r="BY4" s="16">
        <f>BY5/2</f>
        <v>104.5321637</v>
      </c>
      <c r="CA4" s="2"/>
      <c r="CB4" s="16">
        <f>CB5/2</f>
        <v>109.4339623</v>
      </c>
      <c r="CD4" s="2"/>
      <c r="CE4" s="16">
        <f>CE5/2</f>
        <v>135.4359926</v>
      </c>
      <c r="CJ4" s="1"/>
      <c r="CK4" s="16">
        <f>CK5/2</f>
        <v>135.4019746</v>
      </c>
      <c r="CP4" s="1"/>
      <c r="CQ4" s="16">
        <f>CQ5/2</f>
        <v>113.2707775</v>
      </c>
      <c r="CS4" s="2"/>
      <c r="CT4" s="16">
        <f>CT5/2</f>
        <v>78.49640685</v>
      </c>
      <c r="CV4" s="2"/>
      <c r="CW4" s="16">
        <f>CW5/2</f>
        <v>102.6974326</v>
      </c>
    </row>
    <row r="5">
      <c r="A5" s="3" t="s">
        <v>42</v>
      </c>
      <c r="B5" s="13">
        <f>B36+B49+B86+B87+B83+B93</f>
        <v>32</v>
      </c>
      <c r="D5" s="16">
        <f>B5/C3*2000</f>
        <v>134.7368421</v>
      </c>
      <c r="E5" s="13">
        <f>E36+E49+E86+E87+E83+E93</f>
        <v>42</v>
      </c>
      <c r="G5" s="16">
        <f>E5/F3*2000</f>
        <v>140</v>
      </c>
      <c r="H5" s="13">
        <f>H36+H49+H86+H87+H83+H93</f>
        <v>22</v>
      </c>
      <c r="J5" s="16">
        <f>H5/I3*2000</f>
        <v>158.5585586</v>
      </c>
      <c r="K5" s="13">
        <f>K36+K49+K86+K87+K83+K93</f>
        <v>58</v>
      </c>
      <c r="M5" s="16">
        <f>K5/L3*2000</f>
        <v>216.4179104</v>
      </c>
      <c r="N5" s="13">
        <f>N36+N49+N86+N87+N83+N93</f>
        <v>41</v>
      </c>
      <c r="P5" s="16">
        <f>N5/O3*2000</f>
        <v>146.953405</v>
      </c>
      <c r="Q5" s="13">
        <f t="shared" ref="Q5:R5" si="3">Q36+Q49+Q86+Q87+Q83+Q93</f>
        <v>83</v>
      </c>
      <c r="R5" s="13">
        <f t="shared" si="3"/>
        <v>73</v>
      </c>
      <c r="S5" s="17">
        <f>R5+Q5</f>
        <v>156</v>
      </c>
      <c r="T5" s="8">
        <f>S5/S3*2000</f>
        <v>656.8421053</v>
      </c>
      <c r="U5" s="13">
        <f>U36+U49+U86+U87+U83+U93</f>
        <v>28</v>
      </c>
      <c r="V5" s="2"/>
      <c r="W5" s="16">
        <f>U5/V3*2000</f>
        <v>106.6666667</v>
      </c>
      <c r="X5" s="13">
        <f>X36+X49+X86+X87+X83+X93</f>
        <v>25</v>
      </c>
      <c r="Y5" s="2"/>
      <c r="Z5" s="16">
        <f>X5/Y3*2000</f>
        <v>105.5408971</v>
      </c>
      <c r="AA5" s="13">
        <f>AA36+AA49+AA86+AA87+AA83+AA93</f>
        <v>72</v>
      </c>
      <c r="AB5" s="2"/>
      <c r="AC5" s="16">
        <f>AA5/AB3*2000</f>
        <v>240</v>
      </c>
      <c r="AD5" s="13">
        <f>AD36+AD49+AD86+AD87+AD83+AD93</f>
        <v>46</v>
      </c>
      <c r="AE5" s="2"/>
      <c r="AF5" s="16">
        <f>AD5/AE3*2000</f>
        <v>196.2666667</v>
      </c>
      <c r="AG5" s="13">
        <f>AG36+AG49+AG86+AG87+AG83+AG93</f>
        <v>35</v>
      </c>
      <c r="AH5" s="2"/>
      <c r="AI5" s="16">
        <f>AG5/AH3*2000</f>
        <v>122.1640489</v>
      </c>
      <c r="AJ5" s="13">
        <f>AJ36+AJ49+AJ86+AJ87+AJ83+AJ93</f>
        <v>29</v>
      </c>
      <c r="AK5" s="2"/>
      <c r="AL5" s="16">
        <f>AJ5/AK3*2000</f>
        <v>145.7286432</v>
      </c>
      <c r="AM5" s="13">
        <f>AM36+AM49+AM86+AM87+AM83+AM93</f>
        <v>38</v>
      </c>
      <c r="AN5" s="2"/>
      <c r="AO5" s="16">
        <f>AM5/AN3*2000</f>
        <v>308.9430894</v>
      </c>
      <c r="AP5" s="13">
        <f>AP36+AP49+AP86+AP87+AP83+AP93</f>
        <v>259</v>
      </c>
      <c r="AQ5" s="2"/>
      <c r="AR5" s="16">
        <f>AP5/AQ3*2000</f>
        <v>260.8257805</v>
      </c>
      <c r="AS5" s="13">
        <f>AS36+AS49+AS86+AS87+AS83+AS93</f>
        <v>232</v>
      </c>
      <c r="AT5" s="2"/>
      <c r="AU5" s="16">
        <f>AS5/AT3*2000</f>
        <v>228.009828</v>
      </c>
      <c r="AV5" s="13">
        <f>AV36+AV49+AV86+AV87+AV83+AV93</f>
        <v>475</v>
      </c>
      <c r="AW5" s="2"/>
      <c r="AX5" s="16">
        <f>AV5/AW3*2000</f>
        <v>439.8148148</v>
      </c>
      <c r="AZ5" s="13">
        <f t="shared" ref="AZ5:BB5" si="4">AZ36+AZ49+AZ86+AZ87+AZ83+AZ93</f>
        <v>173</v>
      </c>
      <c r="BA5" s="13">
        <f t="shared" si="4"/>
        <v>120</v>
      </c>
      <c r="BB5" s="13">
        <f t="shared" si="4"/>
        <v>134</v>
      </c>
      <c r="BC5" s="1">
        <f>sum(AY5:BB5)</f>
        <v>427</v>
      </c>
      <c r="BD5" s="9">
        <f>BC5/BC3*2000</f>
        <v>547.0852018</v>
      </c>
      <c r="BE5" s="13">
        <f>BE36+BE49+BE86+BE87+BE83+BE93</f>
        <v>35</v>
      </c>
      <c r="BF5" s="2"/>
      <c r="BG5" s="16">
        <f>BE5/BF3*2000</f>
        <v>207.7151335</v>
      </c>
      <c r="BH5" s="13">
        <f t="shared" ref="BH5:BK5" si="5">BH36+BH49+BH86+BH87+BH83+BH93</f>
        <v>196</v>
      </c>
      <c r="BI5" s="13">
        <f t="shared" si="5"/>
        <v>160</v>
      </c>
      <c r="BJ5" s="13">
        <f t="shared" si="5"/>
        <v>159</v>
      </c>
      <c r="BK5" s="13">
        <f t="shared" si="5"/>
        <v>141</v>
      </c>
      <c r="BL5" s="1">
        <f>sum(BH5:BK5)</f>
        <v>656</v>
      </c>
      <c r="BM5" s="8">
        <f>BL5/BL3*2000</f>
        <v>444.5950525</v>
      </c>
      <c r="BN5" s="13">
        <f>BN36+BN49+BN86+BN87+BN83+BN93</f>
        <v>202</v>
      </c>
      <c r="BO5" s="2"/>
      <c r="BP5" s="16">
        <f>BN5/BO3*2000</f>
        <v>258.974359</v>
      </c>
      <c r="BQ5" s="13">
        <f>BQ36+BQ49+BQ86+BQ87+BQ83+BQ93</f>
        <v>145</v>
      </c>
      <c r="BR5" s="2"/>
      <c r="BS5" s="16">
        <f>BQ5/BR3*2000</f>
        <v>144.0635867</v>
      </c>
      <c r="BT5" s="14">
        <f>BT36+BT49+BT86+BT87+BT83+BT93</f>
        <v>61</v>
      </c>
      <c r="BU5" s="2"/>
      <c r="BV5" s="16">
        <f>BT5/BU3*2000</f>
        <v>253.7701508</v>
      </c>
      <c r="BW5" s="13">
        <f>BW36+BW49+BW86+BW87+BW83+BW93</f>
        <v>143</v>
      </c>
      <c r="BX5" s="2"/>
      <c r="BY5" s="16">
        <f>BW5/BX3*2000</f>
        <v>209.0643275</v>
      </c>
      <c r="BZ5" s="13">
        <f>BZ36+BZ49+BZ86+BZ87+BZ83+BZ93</f>
        <v>58</v>
      </c>
      <c r="CA5" s="2"/>
      <c r="CB5" s="16">
        <f>BZ5/CA3*2000</f>
        <v>218.8679245</v>
      </c>
      <c r="CC5" s="13">
        <f>CC36+CC49+CC86+CC87+CC83+CC93</f>
        <v>73</v>
      </c>
      <c r="CD5" s="2"/>
      <c r="CE5" s="16">
        <f>CC5/CD3*2000</f>
        <v>270.8719852</v>
      </c>
      <c r="CF5" s="13">
        <f t="shared" ref="CF5:CI5" si="6">CF36+CF49+CF86+CF87+CF83+CF93</f>
        <v>116</v>
      </c>
      <c r="CG5" s="13">
        <f t="shared" si="6"/>
        <v>110</v>
      </c>
      <c r="CH5" s="13">
        <f t="shared" si="6"/>
        <v>99</v>
      </c>
      <c r="CI5" s="13">
        <f t="shared" si="6"/>
        <v>59</v>
      </c>
      <c r="CJ5" s="1">
        <f>sum(CF5:CI5)</f>
        <v>384</v>
      </c>
      <c r="CK5" s="8">
        <f>CJ5/CJ3*2000</f>
        <v>270.8039492</v>
      </c>
      <c r="CL5" s="14">
        <f t="shared" ref="CL5:CO5" si="7">CL36+CL49+CL86+CL87+CL83+CL93</f>
        <v>49</v>
      </c>
      <c r="CM5" s="13">
        <f t="shared" si="7"/>
        <v>50</v>
      </c>
      <c r="CN5" s="13">
        <f t="shared" si="7"/>
        <v>33</v>
      </c>
      <c r="CO5" s="13">
        <f t="shared" si="7"/>
        <v>37</v>
      </c>
      <c r="CP5" s="15">
        <f>sum(CL5:CO5)</f>
        <v>169</v>
      </c>
      <c r="CQ5" s="8">
        <f>CP5/CP3*2000</f>
        <v>226.541555</v>
      </c>
      <c r="CR5" s="14">
        <f>CR36+CR49+CR86+CR87+CR83+CR93</f>
        <v>213</v>
      </c>
      <c r="CS5" s="2"/>
      <c r="CT5" s="16">
        <f>CR5/CS3*2000</f>
        <v>156.9928137</v>
      </c>
      <c r="CU5" s="13">
        <f>CU36+CU49+CU86+CU87+CU83+CU93</f>
        <v>79</v>
      </c>
      <c r="CV5" s="2"/>
      <c r="CW5" s="16">
        <f>CU5/CV3*2000</f>
        <v>205.3948651</v>
      </c>
    </row>
    <row r="6">
      <c r="A6" s="19" t="s">
        <v>43</v>
      </c>
      <c r="D6" s="8"/>
      <c r="E6" s="12">
        <v>7.0</v>
      </c>
      <c r="F6" s="7"/>
      <c r="G6" s="7"/>
      <c r="H6" s="12">
        <v>2.0</v>
      </c>
      <c r="J6" s="8"/>
      <c r="K6" s="12">
        <v>3.0</v>
      </c>
      <c r="L6" s="7"/>
      <c r="M6" s="7"/>
      <c r="N6" s="12">
        <v>6.0</v>
      </c>
      <c r="O6" s="7"/>
      <c r="P6" s="7"/>
      <c r="Q6" s="1"/>
      <c r="R6" s="3">
        <v>1.0</v>
      </c>
      <c r="T6" s="8"/>
      <c r="U6" s="12"/>
      <c r="V6" s="7"/>
      <c r="W6" s="7"/>
      <c r="X6" s="12">
        <v>8.0</v>
      </c>
      <c r="Y6" s="2" t="s">
        <v>44</v>
      </c>
      <c r="Z6" s="8"/>
      <c r="AA6" s="12">
        <v>6.0</v>
      </c>
      <c r="AC6" s="8"/>
      <c r="AD6" s="2">
        <v>1.0</v>
      </c>
      <c r="AF6" s="8"/>
      <c r="AG6" s="12">
        <v>6.0</v>
      </c>
      <c r="AI6" s="8"/>
      <c r="AL6" s="8"/>
      <c r="AO6" s="8"/>
      <c r="AP6" s="7">
        <v>4.0</v>
      </c>
      <c r="AR6" s="8"/>
      <c r="AS6" s="7">
        <v>5.0</v>
      </c>
      <c r="AU6" s="8"/>
      <c r="AV6" s="12">
        <v>4.0</v>
      </c>
      <c r="AX6" s="8"/>
      <c r="AY6" s="12"/>
      <c r="AZ6" s="12">
        <v>2.0</v>
      </c>
      <c r="BA6" s="7">
        <v>2.0</v>
      </c>
      <c r="BB6" s="12">
        <v>1.0</v>
      </c>
      <c r="BD6" s="9"/>
      <c r="BE6" s="7"/>
      <c r="BG6" s="8"/>
      <c r="BH6" s="3">
        <v>2.0</v>
      </c>
      <c r="BI6" s="3">
        <v>0.0</v>
      </c>
      <c r="BJ6" s="3">
        <v>2.0</v>
      </c>
      <c r="BK6" s="3">
        <v>2.0</v>
      </c>
      <c r="BM6" s="8"/>
      <c r="BN6" s="7">
        <v>2.0</v>
      </c>
      <c r="BP6" s="8"/>
      <c r="BQ6" s="7">
        <v>5.0</v>
      </c>
      <c r="BS6" s="8"/>
      <c r="BT6" s="11"/>
      <c r="BV6" s="8"/>
      <c r="BW6" s="7">
        <v>3.0</v>
      </c>
      <c r="BY6" s="8"/>
      <c r="BZ6" s="7">
        <v>0.0</v>
      </c>
      <c r="CB6" s="8"/>
      <c r="CC6" s="7"/>
      <c r="CE6" s="8"/>
      <c r="CH6" s="3">
        <v>2.0</v>
      </c>
      <c r="CI6" s="1"/>
      <c r="CK6" s="8"/>
      <c r="CL6" s="11"/>
      <c r="CQ6" s="8"/>
      <c r="CR6" s="10">
        <v>1.0</v>
      </c>
      <c r="CT6" s="8"/>
      <c r="CW6" s="8"/>
    </row>
    <row r="7">
      <c r="A7" s="19" t="s">
        <v>45</v>
      </c>
      <c r="B7" s="2">
        <v>10.0</v>
      </c>
      <c r="C7" s="20">
        <v>10.0</v>
      </c>
      <c r="D7" s="21">
        <f>C7/C3*2000</f>
        <v>42.10526316</v>
      </c>
      <c r="E7" s="12">
        <v>26.0</v>
      </c>
      <c r="F7" s="20">
        <v>26.0</v>
      </c>
      <c r="G7" s="21">
        <f>F7/F3*2000</f>
        <v>86.66666667</v>
      </c>
      <c r="H7" s="12">
        <v>11.0</v>
      </c>
      <c r="I7" s="20">
        <v>11.0</v>
      </c>
      <c r="J7" s="21">
        <f>I7/I3*2000</f>
        <v>79.27927928</v>
      </c>
      <c r="K7" s="12">
        <v>16.0</v>
      </c>
      <c r="L7" s="20">
        <v>16.0</v>
      </c>
      <c r="M7" s="21">
        <f>L7/L3*2000</f>
        <v>59.70149254</v>
      </c>
      <c r="N7" s="12">
        <v>4.0</v>
      </c>
      <c r="O7" s="20">
        <v>4.0</v>
      </c>
      <c r="P7" s="21">
        <f>O7/O3*2000</f>
        <v>14.33691756</v>
      </c>
      <c r="Q7" s="3">
        <v>3.0</v>
      </c>
      <c r="R7" s="3">
        <v>1.0</v>
      </c>
      <c r="S7" s="3">
        <v>4.0</v>
      </c>
      <c r="T7" s="21">
        <f>S7/S3*2000</f>
        <v>16.84210526</v>
      </c>
      <c r="U7" s="12">
        <v>6.0</v>
      </c>
      <c r="V7" s="20">
        <v>6.0</v>
      </c>
      <c r="W7" s="21">
        <f>V7/V3*2000</f>
        <v>22.85714286</v>
      </c>
      <c r="X7" s="12">
        <v>45.0</v>
      </c>
      <c r="Y7" s="20">
        <v>45.0</v>
      </c>
      <c r="Z7" s="21">
        <f>Y7/Y3*2000</f>
        <v>189.9736148</v>
      </c>
      <c r="AA7" s="12">
        <v>29.0</v>
      </c>
      <c r="AB7" s="20">
        <v>29.0</v>
      </c>
      <c r="AC7" s="21">
        <f>AB7/AB3*2000</f>
        <v>96.66666667</v>
      </c>
      <c r="AD7" s="2">
        <v>6.0</v>
      </c>
      <c r="AE7" s="20">
        <v>6.0</v>
      </c>
      <c r="AF7" s="21">
        <f>AE7/AE3*2000</f>
        <v>25.6</v>
      </c>
      <c r="AG7" s="12">
        <v>23.0</v>
      </c>
      <c r="AH7" s="20">
        <v>23.0</v>
      </c>
      <c r="AI7" s="21">
        <f>AH7/AH3*2000</f>
        <v>80.27923211</v>
      </c>
      <c r="AJ7" s="2">
        <v>4.0</v>
      </c>
      <c r="AK7" s="3">
        <v>4.0</v>
      </c>
      <c r="AL7" s="21">
        <f>AK7/AK3*2000</f>
        <v>20.10050251</v>
      </c>
      <c r="AM7" s="2">
        <v>1.0</v>
      </c>
      <c r="AN7" s="3">
        <v>1.0</v>
      </c>
      <c r="AO7" s="21">
        <f>AN7/AN3*2000</f>
        <v>8.130081301</v>
      </c>
      <c r="AP7" s="7">
        <v>56.0</v>
      </c>
      <c r="AQ7" s="20">
        <v>56.0</v>
      </c>
      <c r="AR7" s="21">
        <f>AQ7/AQ3*2000</f>
        <v>56.39476334</v>
      </c>
      <c r="AS7" s="7">
        <v>28.0</v>
      </c>
      <c r="AT7" s="20">
        <v>28.0</v>
      </c>
      <c r="AU7" s="21">
        <f>AT7/AT3*2000</f>
        <v>27.51842752</v>
      </c>
      <c r="AV7" s="12">
        <v>22.0</v>
      </c>
      <c r="AW7" s="3">
        <v>22.0</v>
      </c>
      <c r="AX7" s="21">
        <f>AW7/AW3*2000</f>
        <v>20.37037037</v>
      </c>
      <c r="AY7" s="12"/>
      <c r="AZ7" s="12">
        <v>2.0</v>
      </c>
      <c r="BA7" s="7">
        <v>3.0</v>
      </c>
      <c r="BB7" s="12">
        <v>2.0</v>
      </c>
      <c r="BC7" s="3">
        <v>9.0</v>
      </c>
      <c r="BD7" s="22">
        <f>BC7/BC3*2000</f>
        <v>11.53106983</v>
      </c>
      <c r="BE7" s="12">
        <v>3.0</v>
      </c>
      <c r="BF7" s="3">
        <v>3.0</v>
      </c>
      <c r="BG7" s="21">
        <f>BF7/BF3*2000</f>
        <v>17.8041543</v>
      </c>
      <c r="BH7" s="3">
        <v>2.0</v>
      </c>
      <c r="BI7" s="3">
        <v>1.0</v>
      </c>
      <c r="BJ7" s="2">
        <v>3.0</v>
      </c>
      <c r="BK7" s="3">
        <v>3.0</v>
      </c>
      <c r="BL7" s="3">
        <v>9.0</v>
      </c>
      <c r="BM7" s="21">
        <f>BL7/BL3*2000</f>
        <v>6.099627245</v>
      </c>
      <c r="BN7" s="7">
        <v>13.0</v>
      </c>
      <c r="BO7" s="3">
        <v>13.0</v>
      </c>
      <c r="BP7" s="21">
        <f>BO7/BO3*2000</f>
        <v>16.66666667</v>
      </c>
      <c r="BQ7" s="7">
        <v>25.0</v>
      </c>
      <c r="BR7" s="3">
        <v>25.0</v>
      </c>
      <c r="BS7" s="21">
        <f>BR7/BR3*2000</f>
        <v>24.83854943</v>
      </c>
      <c r="BT7" s="10">
        <v>2.0</v>
      </c>
      <c r="BU7" s="3">
        <v>2.0</v>
      </c>
      <c r="BV7" s="21">
        <f>BU7/BU3*2000</f>
        <v>8.320332813</v>
      </c>
      <c r="BW7" s="7">
        <v>5.0</v>
      </c>
      <c r="BX7" s="3">
        <v>5.0</v>
      </c>
      <c r="BY7" s="21">
        <f>BX7/BX3*2000</f>
        <v>7.30994152</v>
      </c>
      <c r="BZ7" s="7">
        <v>3.0</v>
      </c>
      <c r="CA7" s="3">
        <v>3.0</v>
      </c>
      <c r="CB7" s="21">
        <f>CA7/CA3*2000</f>
        <v>11.32075472</v>
      </c>
      <c r="CC7" s="7"/>
      <c r="CD7" s="1"/>
      <c r="CE7" s="21">
        <f>CD7/CD3*2000</f>
        <v>0</v>
      </c>
      <c r="CF7" s="2">
        <v>2.0</v>
      </c>
      <c r="CG7" s="2">
        <v>2.0</v>
      </c>
      <c r="CH7" s="3">
        <v>2.0</v>
      </c>
      <c r="CI7" s="3">
        <v>3.0</v>
      </c>
      <c r="CJ7" s="3">
        <v>9.0</v>
      </c>
      <c r="CK7" s="21">
        <f>CJ7/CJ3*2000</f>
        <v>6.34696756</v>
      </c>
      <c r="CL7" s="10">
        <v>1.0</v>
      </c>
      <c r="CM7" s="1"/>
      <c r="CN7" s="3">
        <v>2.0</v>
      </c>
      <c r="CO7" s="1"/>
      <c r="CP7" s="3">
        <v>3.0</v>
      </c>
      <c r="CQ7" s="21">
        <f>CP7/CP3*2000</f>
        <v>4.021447721</v>
      </c>
      <c r="CR7" s="10">
        <v>1.0</v>
      </c>
      <c r="CS7" s="3">
        <v>1.0</v>
      </c>
      <c r="CT7" s="21">
        <f>CS7/CS3*2000</f>
        <v>0.7370554634</v>
      </c>
      <c r="CU7" s="2">
        <v>2.0</v>
      </c>
      <c r="CV7" s="3">
        <v>2.0</v>
      </c>
      <c r="CW7" s="21">
        <f>CV7/CV3*2000</f>
        <v>5.199870003</v>
      </c>
    </row>
    <row r="8">
      <c r="A8" s="19" t="s">
        <v>46</v>
      </c>
      <c r="C8" s="1"/>
      <c r="D8" s="8"/>
      <c r="E8" s="12">
        <v>1.0</v>
      </c>
      <c r="F8" s="1"/>
      <c r="G8" s="8"/>
      <c r="H8" s="12">
        <v>1.0</v>
      </c>
      <c r="I8" s="1"/>
      <c r="J8" s="8"/>
      <c r="K8" s="12">
        <v>2.0</v>
      </c>
      <c r="L8" s="1"/>
      <c r="M8" s="8"/>
      <c r="N8" s="12">
        <v>5.0</v>
      </c>
      <c r="O8" s="1"/>
      <c r="P8" s="8"/>
      <c r="Q8" s="1"/>
      <c r="R8" s="1"/>
      <c r="S8" s="1"/>
      <c r="T8" s="8"/>
      <c r="U8" s="12">
        <v>1.0</v>
      </c>
      <c r="V8" s="1"/>
      <c r="W8" s="8"/>
      <c r="X8" s="12">
        <v>6.0</v>
      </c>
      <c r="Y8" s="1"/>
      <c r="Z8" s="8"/>
      <c r="AA8" s="12">
        <v>12.0</v>
      </c>
      <c r="AB8" s="1"/>
      <c r="AC8" s="8"/>
      <c r="AD8" s="2">
        <v>3.0</v>
      </c>
      <c r="AE8" s="1"/>
      <c r="AF8" s="8"/>
      <c r="AG8" s="12">
        <v>3.0</v>
      </c>
      <c r="AH8" s="1"/>
      <c r="AI8" s="8"/>
      <c r="AK8" s="1"/>
      <c r="AL8" s="8"/>
      <c r="AN8" s="1"/>
      <c r="AO8" s="8"/>
      <c r="AP8" s="7">
        <v>15.0</v>
      </c>
      <c r="AQ8" s="1"/>
      <c r="AR8" s="8"/>
      <c r="AS8" s="7">
        <v>10.0</v>
      </c>
      <c r="AT8" s="1"/>
      <c r="AU8" s="8"/>
      <c r="AV8" s="12">
        <v>21.0</v>
      </c>
      <c r="AW8" s="1"/>
      <c r="AX8" s="8"/>
      <c r="AY8" s="12"/>
      <c r="AZ8" s="12">
        <v>5.0</v>
      </c>
      <c r="BA8" s="7">
        <v>2.0</v>
      </c>
      <c r="BB8" s="12">
        <v>4.0</v>
      </c>
      <c r="BC8" s="1"/>
      <c r="BD8" s="9"/>
      <c r="BE8" s="7"/>
      <c r="BF8" s="1"/>
      <c r="BG8" s="8"/>
      <c r="BH8" s="3">
        <v>3.0</v>
      </c>
      <c r="BI8" s="3">
        <v>5.0</v>
      </c>
      <c r="BJ8" s="3">
        <v>4.0</v>
      </c>
      <c r="BK8" s="3">
        <v>0.0</v>
      </c>
      <c r="BL8" s="1"/>
      <c r="BM8" s="8"/>
      <c r="BN8" s="7">
        <v>9.0</v>
      </c>
      <c r="BO8" s="1"/>
      <c r="BP8" s="8"/>
      <c r="BQ8" s="7">
        <v>6.0</v>
      </c>
      <c r="BR8" s="1"/>
      <c r="BS8" s="8"/>
      <c r="BT8" s="10">
        <v>1.0</v>
      </c>
      <c r="BU8" s="1"/>
      <c r="BV8" s="8"/>
      <c r="BW8" s="7">
        <v>3.0</v>
      </c>
      <c r="BX8" s="1"/>
      <c r="BY8" s="8"/>
      <c r="BZ8" s="7">
        <v>0.0</v>
      </c>
      <c r="CA8" s="1"/>
      <c r="CB8" s="8"/>
      <c r="CC8" s="7"/>
      <c r="CD8" s="1"/>
      <c r="CE8" s="8"/>
      <c r="CF8" s="2">
        <v>1.0</v>
      </c>
      <c r="CH8" s="1"/>
      <c r="CI8" s="3">
        <v>1.0</v>
      </c>
      <c r="CJ8" s="1"/>
      <c r="CK8" s="8"/>
      <c r="CL8" s="11"/>
      <c r="CM8" s="1"/>
      <c r="CN8" s="1"/>
      <c r="CO8" s="1"/>
      <c r="CP8" s="1"/>
      <c r="CQ8" s="8"/>
      <c r="CR8" s="10"/>
      <c r="CS8" s="1"/>
      <c r="CT8" s="8"/>
      <c r="CV8" s="1"/>
      <c r="CW8" s="8"/>
    </row>
    <row r="9">
      <c r="A9" s="19" t="s">
        <v>47</v>
      </c>
      <c r="B9" s="2">
        <v>8.0</v>
      </c>
      <c r="C9" s="1"/>
      <c r="D9" s="8"/>
      <c r="E9" s="12">
        <v>10.0</v>
      </c>
      <c r="F9" s="1"/>
      <c r="G9" s="8"/>
      <c r="H9" s="12">
        <v>3.0</v>
      </c>
      <c r="I9" s="1"/>
      <c r="J9" s="8"/>
      <c r="K9" s="12">
        <v>13.0</v>
      </c>
      <c r="L9" s="1"/>
      <c r="M9" s="8"/>
      <c r="N9" s="12">
        <v>1.0</v>
      </c>
      <c r="O9" s="1"/>
      <c r="P9" s="8"/>
      <c r="Q9" s="3">
        <v>3.0</v>
      </c>
      <c r="R9" s="1"/>
      <c r="S9" s="1"/>
      <c r="T9" s="8"/>
      <c r="U9" s="12">
        <v>5.0</v>
      </c>
      <c r="V9" s="1"/>
      <c r="W9" s="8"/>
      <c r="X9" s="12">
        <v>6.0</v>
      </c>
      <c r="Y9" s="1"/>
      <c r="Z9" s="8"/>
      <c r="AA9" s="12">
        <v>11.0</v>
      </c>
      <c r="AB9" s="1"/>
      <c r="AC9" s="8"/>
      <c r="AD9" s="2">
        <v>2.0</v>
      </c>
      <c r="AE9" s="1"/>
      <c r="AF9" s="8"/>
      <c r="AG9" s="12">
        <v>5.0</v>
      </c>
      <c r="AH9" s="1"/>
      <c r="AI9" s="8"/>
      <c r="AJ9" s="2">
        <v>1.0</v>
      </c>
      <c r="AK9" s="1"/>
      <c r="AL9" s="8"/>
      <c r="AN9" s="1"/>
      <c r="AO9" s="8"/>
      <c r="AP9" s="7">
        <v>2.0</v>
      </c>
      <c r="AQ9" s="1"/>
      <c r="AR9" s="8"/>
      <c r="AS9" s="7">
        <v>6.0</v>
      </c>
      <c r="AT9" s="1"/>
      <c r="AU9" s="8"/>
      <c r="AV9" s="12">
        <v>2.0</v>
      </c>
      <c r="AW9" s="1"/>
      <c r="AX9" s="8"/>
      <c r="AY9" s="7"/>
      <c r="AZ9" s="7"/>
      <c r="BA9" s="7"/>
      <c r="BB9" s="7"/>
      <c r="BC9" s="1"/>
      <c r="BD9" s="9"/>
      <c r="BE9" s="12">
        <v>3.0</v>
      </c>
      <c r="BF9" s="1"/>
      <c r="BG9" s="8"/>
      <c r="BH9" s="3">
        <v>1.0</v>
      </c>
      <c r="BI9" s="3">
        <v>0.0</v>
      </c>
      <c r="BJ9" s="3">
        <v>2.0</v>
      </c>
      <c r="BK9" s="3">
        <v>2.0</v>
      </c>
      <c r="BL9" s="1"/>
      <c r="BM9" s="8"/>
      <c r="BN9" s="7">
        <v>2.0</v>
      </c>
      <c r="BO9" s="1"/>
      <c r="BP9" s="8"/>
      <c r="BQ9" s="7">
        <v>1.0</v>
      </c>
      <c r="BR9" s="1"/>
      <c r="BS9" s="8"/>
      <c r="BT9" s="11"/>
      <c r="BU9" s="1"/>
      <c r="BV9" s="8"/>
      <c r="BW9" s="7">
        <v>1.0</v>
      </c>
      <c r="BX9" s="1"/>
      <c r="BY9" s="8"/>
      <c r="BZ9" s="7">
        <v>0.0</v>
      </c>
      <c r="CA9" s="1"/>
      <c r="CB9" s="8"/>
      <c r="CC9" s="12">
        <v>2.0</v>
      </c>
      <c r="CD9" s="1"/>
      <c r="CE9" s="8"/>
      <c r="CF9" s="2">
        <v>1.0</v>
      </c>
      <c r="CH9" s="1"/>
      <c r="CI9" s="3">
        <v>2.0</v>
      </c>
      <c r="CJ9" s="1"/>
      <c r="CK9" s="8"/>
      <c r="CL9" s="11"/>
      <c r="CM9" s="1"/>
      <c r="CN9" s="3">
        <v>1.0</v>
      </c>
      <c r="CO9" s="1"/>
      <c r="CP9" s="1"/>
      <c r="CQ9" s="8"/>
      <c r="CR9" s="11"/>
      <c r="CS9" s="1"/>
      <c r="CT9" s="8"/>
      <c r="CV9" s="1"/>
      <c r="CW9" s="8"/>
    </row>
    <row r="10">
      <c r="A10" s="23" t="s">
        <v>48</v>
      </c>
      <c r="C10" s="1" t="str">
        <f>B10</f>
        <v/>
      </c>
      <c r="D10" s="8">
        <f t="shared" ref="D10:D11" si="8">C10/C$3*2000</f>
        <v>0</v>
      </c>
      <c r="E10" s="7"/>
      <c r="F10" s="1" t="str">
        <f>E10</f>
        <v/>
      </c>
      <c r="G10" s="8">
        <f t="shared" ref="G10:G11" si="9">F10/F$3*2000</f>
        <v>0</v>
      </c>
      <c r="H10" s="7"/>
      <c r="I10" s="1" t="str">
        <f>H10</f>
        <v/>
      </c>
      <c r="J10" s="8">
        <f t="shared" ref="J10:J11" si="10">I10/I$3*2000</f>
        <v>0</v>
      </c>
      <c r="K10" s="7"/>
      <c r="L10" s="1" t="str">
        <f>K10</f>
        <v/>
      </c>
      <c r="M10" s="8">
        <f t="shared" ref="M10:M11" si="11">L10/L$3*2000</f>
        <v>0</v>
      </c>
      <c r="N10" s="7"/>
      <c r="O10" s="1" t="str">
        <f>N10</f>
        <v/>
      </c>
      <c r="P10" s="8">
        <f t="shared" ref="P10:P11" si="12">O10/O$3*2000</f>
        <v>0</v>
      </c>
      <c r="Q10" s="1"/>
      <c r="R10" s="1"/>
      <c r="S10" s="1" t="str">
        <f>R10</f>
        <v/>
      </c>
      <c r="T10" s="8">
        <f t="shared" ref="T10:T11" si="13">S10/S$3*2000</f>
        <v>0</v>
      </c>
      <c r="U10" s="7"/>
      <c r="V10" s="1" t="str">
        <f>U10</f>
        <v/>
      </c>
      <c r="W10" s="8">
        <f t="shared" ref="W10:W11" si="14">V10/V$3*2000</f>
        <v>0</v>
      </c>
      <c r="X10" s="7"/>
      <c r="Y10" s="1" t="str">
        <f>X10</f>
        <v/>
      </c>
      <c r="Z10" s="8">
        <f t="shared" ref="Z10:Z11" si="15">Y10/Y$3*2000</f>
        <v>0</v>
      </c>
      <c r="AA10" s="7"/>
      <c r="AB10" s="1" t="str">
        <f>AA10</f>
        <v/>
      </c>
      <c r="AC10" s="8">
        <f t="shared" ref="AC10:AC11" si="16">AB10/AB$3*2000</f>
        <v>0</v>
      </c>
      <c r="AE10" s="1" t="str">
        <f>AD10</f>
        <v/>
      </c>
      <c r="AF10" s="8">
        <f t="shared" ref="AF10:AF11" si="17">AE10/AE$3*2000</f>
        <v>0</v>
      </c>
      <c r="AG10" s="7"/>
      <c r="AH10" s="1" t="str">
        <f>AG10</f>
        <v/>
      </c>
      <c r="AI10" s="8">
        <f t="shared" ref="AI10:AI11" si="18">AH10/AH$3*2000</f>
        <v>0</v>
      </c>
      <c r="AK10" s="1" t="str">
        <f>AJ10</f>
        <v/>
      </c>
      <c r="AL10" s="8">
        <f t="shared" ref="AL10:AL11" si="19">AK10/AK$3*2000</f>
        <v>0</v>
      </c>
      <c r="AM10" s="2">
        <v>1.0</v>
      </c>
      <c r="AN10" s="1">
        <f>AM10</f>
        <v>1</v>
      </c>
      <c r="AO10" s="8">
        <f t="shared" ref="AO10:AO11" si="20">AN10/AN$3*2000</f>
        <v>8.130081301</v>
      </c>
      <c r="AP10" s="7">
        <v>1.0</v>
      </c>
      <c r="AQ10" s="1">
        <f>AP10</f>
        <v>1</v>
      </c>
      <c r="AR10" s="8">
        <f t="shared" ref="AR10:AR11" si="21">AQ10/AQ$3*2000</f>
        <v>1.007049345</v>
      </c>
      <c r="AS10" s="7">
        <v>2.0</v>
      </c>
      <c r="AT10" s="1">
        <f>AS10</f>
        <v>2</v>
      </c>
      <c r="AU10" s="8">
        <f t="shared" ref="AU10:AU11" si="22">AT10/AT$3*2000</f>
        <v>1.965601966</v>
      </c>
      <c r="AV10" s="3">
        <v>1.0</v>
      </c>
      <c r="AW10" s="1">
        <f>AV10</f>
        <v>1</v>
      </c>
      <c r="AX10" s="8">
        <f t="shared" ref="AX10:AX11" si="23">AW10/AW$3*2000</f>
        <v>0.9259259259</v>
      </c>
      <c r="AY10" s="1"/>
      <c r="AZ10" s="1"/>
      <c r="BA10" s="1"/>
      <c r="BB10" s="1"/>
      <c r="BC10" s="1" t="str">
        <f>BB10</f>
        <v/>
      </c>
      <c r="BD10" s="9">
        <f t="shared" ref="BD10:BD11" si="24">BC10/BC$3*2000</f>
        <v>0</v>
      </c>
      <c r="BE10" s="7"/>
      <c r="BF10" s="1" t="str">
        <f>BE10</f>
        <v/>
      </c>
      <c r="BG10" s="8">
        <f t="shared" ref="BG10:BG11" si="25">BF10/BF$3*2000</f>
        <v>0</v>
      </c>
      <c r="BH10" s="1"/>
      <c r="BI10" s="1"/>
      <c r="BJ10" s="1"/>
      <c r="BK10" s="3">
        <v>1.0</v>
      </c>
      <c r="BL10" s="1">
        <f>BK10</f>
        <v>1</v>
      </c>
      <c r="BM10" s="8">
        <f t="shared" ref="BM10:BM11" si="26">BL10/BL$3*2000</f>
        <v>0.6777363606</v>
      </c>
      <c r="BN10" s="7">
        <v>0.0</v>
      </c>
      <c r="BO10" s="1">
        <f>BN10</f>
        <v>0</v>
      </c>
      <c r="BP10" s="8">
        <f t="shared" ref="BP10:BP11" si="27">BO10/BO$3*2000</f>
        <v>0</v>
      </c>
      <c r="BQ10" s="7">
        <v>0.0</v>
      </c>
      <c r="BR10" s="1">
        <f>BQ10</f>
        <v>0</v>
      </c>
      <c r="BS10" s="8">
        <f t="shared" ref="BS10:BS11" si="28">BR10/BR$3*2000</f>
        <v>0</v>
      </c>
      <c r="BT10" s="15"/>
      <c r="BU10" s="15" t="str">
        <f>BT10</f>
        <v/>
      </c>
      <c r="BV10" s="8">
        <f t="shared" ref="BV10:BV11" si="29">BU10/BU$3*2000</f>
        <v>0</v>
      </c>
      <c r="BW10" s="7">
        <v>0.0</v>
      </c>
      <c r="BX10" s="1">
        <f>BW10</f>
        <v>0</v>
      </c>
      <c r="BY10" s="8">
        <f t="shared" ref="BY10:BY11" si="30">BX10/BX$3*2000</f>
        <v>0</v>
      </c>
      <c r="BZ10" s="7">
        <v>0.0</v>
      </c>
      <c r="CA10" s="1">
        <f>BZ10</f>
        <v>0</v>
      </c>
      <c r="CB10" s="8">
        <f t="shared" ref="CB10:CB11" si="31">CA10/CA$3*2000</f>
        <v>0</v>
      </c>
      <c r="CC10" s="7"/>
      <c r="CD10" s="1" t="str">
        <f>CC10</f>
        <v/>
      </c>
      <c r="CE10" s="8">
        <f t="shared" ref="CE10:CE11" si="32">CD10/CD$3*2000</f>
        <v>0</v>
      </c>
      <c r="CH10" s="3">
        <v>1.0</v>
      </c>
      <c r="CI10" s="1"/>
      <c r="CJ10" s="1" t="str">
        <f>CI10</f>
        <v/>
      </c>
      <c r="CK10" s="8">
        <f t="shared" ref="CK10:CK11" si="33">CJ10/CJ$3*2000</f>
        <v>0</v>
      </c>
      <c r="CL10" s="15"/>
      <c r="CM10" s="1"/>
      <c r="CN10" s="1"/>
      <c r="CO10" s="1"/>
      <c r="CP10" s="1" t="str">
        <f>CO10</f>
        <v/>
      </c>
      <c r="CQ10" s="8">
        <f t="shared" ref="CQ10:CQ11" si="34">CP10/CP$3*2000</f>
        <v>0</v>
      </c>
      <c r="CR10" s="6">
        <v>1.0</v>
      </c>
      <c r="CS10" s="15">
        <f>CR10</f>
        <v>1</v>
      </c>
      <c r="CT10" s="8">
        <f t="shared" ref="CT10:CT11" si="35">CS10/CS$3*2000</f>
        <v>0.7370554634</v>
      </c>
      <c r="CV10" s="1" t="str">
        <f>CU10</f>
        <v/>
      </c>
      <c r="CW10" s="8">
        <f t="shared" ref="CW10:CW11" si="36">CV10/CV$3*2000</f>
        <v>0</v>
      </c>
    </row>
    <row r="11">
      <c r="A11" s="19" t="s">
        <v>49</v>
      </c>
      <c r="B11" s="2">
        <v>4.0</v>
      </c>
      <c r="C11" s="7">
        <f>sum(B6:B11)</f>
        <v>22</v>
      </c>
      <c r="D11" s="16">
        <f t="shared" si="8"/>
        <v>92.63157895</v>
      </c>
      <c r="E11" s="12">
        <v>6.0</v>
      </c>
      <c r="F11" s="7">
        <f>sum(E6:E11)</f>
        <v>50</v>
      </c>
      <c r="G11" s="16">
        <f t="shared" si="9"/>
        <v>166.6666667</v>
      </c>
      <c r="H11" s="12">
        <v>2.0</v>
      </c>
      <c r="I11" s="7">
        <f>sum(H6:H11)</f>
        <v>19</v>
      </c>
      <c r="J11" s="16">
        <f t="shared" si="10"/>
        <v>136.9369369</v>
      </c>
      <c r="K11" s="12">
        <v>5.0</v>
      </c>
      <c r="L11" s="7">
        <f>sum(K6:K11)</f>
        <v>39</v>
      </c>
      <c r="M11" s="16">
        <f t="shared" si="11"/>
        <v>145.5223881</v>
      </c>
      <c r="N11" s="12">
        <v>1.0</v>
      </c>
      <c r="O11" s="7">
        <f>sum(N6:N11)</f>
        <v>17</v>
      </c>
      <c r="P11" s="16">
        <f t="shared" si="12"/>
        <v>60.93189964</v>
      </c>
      <c r="Q11" s="1"/>
      <c r="R11" s="1"/>
      <c r="S11" s="7">
        <f>sum(Q6:R11)</f>
        <v>8</v>
      </c>
      <c r="T11" s="16">
        <f t="shared" si="13"/>
        <v>33.68421053</v>
      </c>
      <c r="U11" s="12"/>
      <c r="V11" s="7">
        <f>sum(U6:U11)</f>
        <v>12</v>
      </c>
      <c r="W11" s="16">
        <f t="shared" si="14"/>
        <v>45.71428571</v>
      </c>
      <c r="X11" s="12">
        <v>8.0</v>
      </c>
      <c r="Y11" s="7">
        <f>sum(X6:X11)</f>
        <v>73</v>
      </c>
      <c r="Z11" s="16">
        <f t="shared" si="15"/>
        <v>308.1794195</v>
      </c>
      <c r="AA11" s="12">
        <v>5.0</v>
      </c>
      <c r="AB11" s="7">
        <f>sum(AA6:AA11)</f>
        <v>63</v>
      </c>
      <c r="AC11" s="16">
        <f t="shared" si="16"/>
        <v>210</v>
      </c>
      <c r="AD11" s="2">
        <v>6.0</v>
      </c>
      <c r="AE11" s="7">
        <f>sum(AD6:AD11)</f>
        <v>18</v>
      </c>
      <c r="AF11" s="16">
        <f t="shared" si="17"/>
        <v>76.8</v>
      </c>
      <c r="AG11" s="12">
        <v>5.0</v>
      </c>
      <c r="AH11" s="7">
        <f>sum(AG6:AG11)</f>
        <v>42</v>
      </c>
      <c r="AI11" s="16">
        <f t="shared" si="18"/>
        <v>146.5968586</v>
      </c>
      <c r="AK11" s="7">
        <f>sum(AJ6:AJ11)</f>
        <v>5</v>
      </c>
      <c r="AL11" s="16">
        <f t="shared" si="19"/>
        <v>25.12562814</v>
      </c>
      <c r="AN11" s="7">
        <f>sum(AM6:AM11)</f>
        <v>2</v>
      </c>
      <c r="AO11" s="16">
        <f t="shared" si="20"/>
        <v>16.2601626</v>
      </c>
      <c r="AP11" s="7">
        <v>5.0</v>
      </c>
      <c r="AQ11" s="7">
        <f>sum(AP6:AP11)</f>
        <v>83</v>
      </c>
      <c r="AR11" s="16">
        <f t="shared" si="21"/>
        <v>83.58509567</v>
      </c>
      <c r="AS11" s="7">
        <v>8.0</v>
      </c>
      <c r="AT11" s="7">
        <f>sum(AS6:AS11)</f>
        <v>59</v>
      </c>
      <c r="AU11" s="16">
        <f t="shared" si="22"/>
        <v>57.98525799</v>
      </c>
      <c r="AV11" s="12">
        <v>3.0</v>
      </c>
      <c r="AW11" s="7">
        <f>sum(AV6:AV11)</f>
        <v>53</v>
      </c>
      <c r="AX11" s="16">
        <f t="shared" si="23"/>
        <v>49.07407407</v>
      </c>
      <c r="AY11" s="7"/>
      <c r="AZ11" s="7"/>
      <c r="BA11" s="7">
        <v>1.0</v>
      </c>
      <c r="BB11" s="7"/>
      <c r="BC11" s="7">
        <f>sum(AY6:BB11)</f>
        <v>24</v>
      </c>
      <c r="BD11" s="18">
        <f t="shared" si="24"/>
        <v>30.74951954</v>
      </c>
      <c r="BE11" s="12">
        <v>2.0</v>
      </c>
      <c r="BF11" s="7">
        <f>sum(BE6:BE11)</f>
        <v>8</v>
      </c>
      <c r="BG11" s="16">
        <f t="shared" si="25"/>
        <v>47.47774481</v>
      </c>
      <c r="BH11" s="3">
        <v>1.0</v>
      </c>
      <c r="BI11" s="2">
        <v>1.0</v>
      </c>
      <c r="BJ11" s="3">
        <v>0.0</v>
      </c>
      <c r="BK11" s="12">
        <v>1.0</v>
      </c>
      <c r="BL11" s="7">
        <f>sum(BH6:BK11)</f>
        <v>36</v>
      </c>
      <c r="BM11" s="16">
        <f t="shared" si="26"/>
        <v>24.39850898</v>
      </c>
      <c r="BN11" s="7">
        <v>4.0</v>
      </c>
      <c r="BO11" s="7">
        <f>sum(BN6:BN11)</f>
        <v>30</v>
      </c>
      <c r="BP11" s="16">
        <f t="shared" si="27"/>
        <v>38.46153846</v>
      </c>
      <c r="BQ11" s="7">
        <v>3.0</v>
      </c>
      <c r="BR11" s="7">
        <f>sum(BQ6:BQ11)</f>
        <v>40</v>
      </c>
      <c r="BS11" s="16">
        <f t="shared" si="28"/>
        <v>39.74167909</v>
      </c>
      <c r="BT11" s="11"/>
      <c r="BU11" s="11">
        <f>sum(BT6:BT11)</f>
        <v>3</v>
      </c>
      <c r="BV11" s="16">
        <f t="shared" si="29"/>
        <v>12.48049922</v>
      </c>
      <c r="BW11" s="7">
        <v>0.0</v>
      </c>
      <c r="BX11" s="7">
        <f>sum(BW6:BW11)</f>
        <v>12</v>
      </c>
      <c r="BY11" s="16">
        <f t="shared" si="30"/>
        <v>17.54385965</v>
      </c>
      <c r="BZ11" s="7">
        <v>0.0</v>
      </c>
      <c r="CA11" s="7">
        <f>sum(BZ6:BZ11)</f>
        <v>3</v>
      </c>
      <c r="CB11" s="16">
        <f t="shared" si="31"/>
        <v>11.32075472</v>
      </c>
      <c r="CC11" s="7"/>
      <c r="CD11" s="7">
        <f>sum(CC6:CC11)</f>
        <v>2</v>
      </c>
      <c r="CE11" s="16">
        <f t="shared" si="32"/>
        <v>7.421150278</v>
      </c>
      <c r="CH11" s="1"/>
      <c r="CI11" s="1"/>
      <c r="CJ11" s="7">
        <f>sum(CF6:CI11)</f>
        <v>17</v>
      </c>
      <c r="CK11" s="16">
        <f t="shared" si="33"/>
        <v>11.9887165</v>
      </c>
      <c r="CL11" s="11"/>
      <c r="CM11" s="7"/>
      <c r="CN11" s="7"/>
      <c r="CO11" s="7"/>
      <c r="CP11" s="11">
        <f>sum(CL6:CO11)</f>
        <v>4</v>
      </c>
      <c r="CQ11" s="16">
        <f t="shared" si="34"/>
        <v>5.361930295</v>
      </c>
      <c r="CR11" s="10">
        <v>1.0</v>
      </c>
      <c r="CS11" s="11">
        <f>sum(CR6:CR11)</f>
        <v>4</v>
      </c>
      <c r="CT11" s="16">
        <f t="shared" si="35"/>
        <v>2.948221854</v>
      </c>
      <c r="CV11" s="7">
        <f>sum(CU6:CU11)</f>
        <v>2</v>
      </c>
      <c r="CW11" s="16">
        <f t="shared" si="36"/>
        <v>5.199870003</v>
      </c>
    </row>
    <row r="12">
      <c r="A12" s="24" t="s">
        <v>50</v>
      </c>
      <c r="D12" s="8">
        <f>C11/C3*2000</f>
        <v>92.63157895</v>
      </c>
      <c r="E12" s="7"/>
      <c r="G12" s="8">
        <f>F11/F3*2000</f>
        <v>166.6666667</v>
      </c>
      <c r="H12" s="7"/>
      <c r="J12" s="8">
        <f>I11/I3*2000</f>
        <v>136.9369369</v>
      </c>
      <c r="K12" s="7"/>
      <c r="M12" s="8">
        <f>L11/L3*2000</f>
        <v>145.5223881</v>
      </c>
      <c r="N12" s="12">
        <v>1.0</v>
      </c>
      <c r="P12" s="8">
        <f>O11/O3*2000</f>
        <v>60.93189964</v>
      </c>
      <c r="Q12" s="1"/>
      <c r="R12" s="1"/>
      <c r="S12" s="1"/>
      <c r="T12" s="8">
        <f>S11/S3*2000</f>
        <v>33.68421053</v>
      </c>
      <c r="U12" s="12"/>
      <c r="W12" s="8">
        <f>V11/V3*2000</f>
        <v>45.71428571</v>
      </c>
      <c r="X12" s="12">
        <v>1.0</v>
      </c>
      <c r="Y12" s="3" t="s">
        <v>51</v>
      </c>
      <c r="Z12" s="8">
        <f>Y11/Y3*2000</f>
        <v>308.1794195</v>
      </c>
      <c r="AA12" s="7"/>
      <c r="AB12" s="1"/>
      <c r="AC12" s="8">
        <f>AB11/AB3*2000</f>
        <v>210</v>
      </c>
      <c r="AF12" s="8">
        <f>AE11/AE3*2000</f>
        <v>76.8</v>
      </c>
      <c r="AG12" s="7"/>
      <c r="AI12" s="8">
        <f>AH11/AH3*2000</f>
        <v>146.5968586</v>
      </c>
      <c r="AK12" s="1"/>
      <c r="AL12" s="8">
        <f>AK11/AK3*2000</f>
        <v>25.12562814</v>
      </c>
      <c r="AN12" s="1"/>
      <c r="AO12" s="8">
        <f>AN11/AN3*2000</f>
        <v>16.2601626</v>
      </c>
      <c r="AP12" s="7">
        <v>2.0</v>
      </c>
      <c r="AQ12" s="1"/>
      <c r="AR12" s="8">
        <f>AQ11/AQ3*2000</f>
        <v>83.58509567</v>
      </c>
      <c r="AS12" s="7">
        <v>0.0</v>
      </c>
      <c r="AT12" s="1"/>
      <c r="AU12" s="8">
        <f>AT11/AT3*2000</f>
        <v>57.98525799</v>
      </c>
      <c r="AV12" s="1"/>
      <c r="AW12" s="1"/>
      <c r="AX12" s="8">
        <f>AW11/AW3*2000</f>
        <v>49.07407407</v>
      </c>
      <c r="AY12" s="1"/>
      <c r="AZ12" s="1"/>
      <c r="BA12" s="1"/>
      <c r="BB12" s="1"/>
      <c r="BC12" s="1"/>
      <c r="BD12" s="9">
        <f>BC11/BC3*2000</f>
        <v>30.74951954</v>
      </c>
      <c r="BE12" s="7"/>
      <c r="BF12" s="1"/>
      <c r="BG12" s="8">
        <f>BF11/BF3*2000</f>
        <v>47.47774481</v>
      </c>
      <c r="BH12" s="1"/>
      <c r="BI12" s="1"/>
      <c r="BJ12" s="1"/>
      <c r="BK12" s="1"/>
      <c r="BL12" s="1"/>
      <c r="BM12" s="8">
        <f>BL11/BL3*2000</f>
        <v>24.39850898</v>
      </c>
      <c r="BN12" s="7">
        <v>0.0</v>
      </c>
      <c r="BO12" s="1"/>
      <c r="BP12" s="8">
        <f>BO11/BO3*2000</f>
        <v>38.46153846</v>
      </c>
      <c r="BQ12" s="7">
        <v>0.0</v>
      </c>
      <c r="BR12" s="1"/>
      <c r="BS12" s="8">
        <f>BR11/BR3*2000</f>
        <v>39.74167909</v>
      </c>
      <c r="BT12" s="15"/>
      <c r="BU12" s="1"/>
      <c r="BV12" s="8">
        <f>BU11/BU3*2000</f>
        <v>12.48049922</v>
      </c>
      <c r="BW12" s="7">
        <v>0.0</v>
      </c>
      <c r="BX12" s="1"/>
      <c r="BY12" s="8">
        <f>BX11/BX3*2000</f>
        <v>17.54385965</v>
      </c>
      <c r="BZ12" s="7">
        <v>0.0</v>
      </c>
      <c r="CA12" s="1"/>
      <c r="CB12" s="8">
        <f>CA11/CA3*2000</f>
        <v>11.32075472</v>
      </c>
      <c r="CC12" s="12">
        <v>1.0</v>
      </c>
      <c r="CD12" s="1"/>
      <c r="CE12" s="8">
        <f>CD11/CD3*2000</f>
        <v>7.421150278</v>
      </c>
      <c r="CH12" s="1"/>
      <c r="CI12" s="1"/>
      <c r="CJ12" s="1"/>
      <c r="CK12" s="8">
        <f>CJ11/CJ3*2000</f>
        <v>11.9887165</v>
      </c>
      <c r="CL12" s="15"/>
      <c r="CM12" s="1"/>
      <c r="CN12" s="1"/>
      <c r="CO12" s="1"/>
      <c r="CP12" s="1"/>
      <c r="CQ12" s="8">
        <f>CP11/CP3*2000</f>
        <v>5.361930295</v>
      </c>
      <c r="CR12" s="15"/>
      <c r="CS12" s="1"/>
      <c r="CT12" s="8">
        <f>CS11/CS3*2000</f>
        <v>2.948221854</v>
      </c>
      <c r="CV12" s="1"/>
      <c r="CW12" s="8">
        <f>CV11/CV3*2000</f>
        <v>5.199870003</v>
      </c>
    </row>
    <row r="13">
      <c r="A13" s="24" t="s">
        <v>52</v>
      </c>
      <c r="C13" s="1"/>
      <c r="D13" s="4"/>
      <c r="E13" s="1"/>
      <c r="F13" s="1"/>
      <c r="G13" s="4"/>
      <c r="H13" s="1"/>
      <c r="I13" s="1"/>
      <c r="J13" s="4"/>
      <c r="K13" s="1"/>
      <c r="L13" s="1"/>
      <c r="M13" s="4"/>
      <c r="N13" s="1"/>
      <c r="O13" s="1"/>
      <c r="P13" s="4"/>
      <c r="Q13" s="1"/>
      <c r="R13" s="1"/>
      <c r="S13" s="1"/>
      <c r="T13" s="4"/>
      <c r="U13" s="1"/>
      <c r="V13" s="1"/>
      <c r="W13" s="4"/>
      <c r="X13" s="1"/>
      <c r="Y13" s="1"/>
      <c r="Z13" s="4"/>
      <c r="AA13" s="1"/>
      <c r="AB13" s="1"/>
      <c r="AC13" s="4"/>
      <c r="AE13" s="1"/>
      <c r="AF13" s="4"/>
      <c r="AG13" s="3">
        <v>1.0</v>
      </c>
      <c r="AH13" s="1"/>
      <c r="AI13" s="4"/>
      <c r="AK13" s="1"/>
      <c r="AL13" s="4"/>
      <c r="AN13" s="1"/>
      <c r="AO13" s="4"/>
      <c r="AP13" s="1"/>
      <c r="AQ13" s="1"/>
      <c r="AR13" s="4"/>
      <c r="AS13" s="1"/>
      <c r="AT13" s="1"/>
      <c r="AU13" s="4"/>
      <c r="AV13" s="1"/>
      <c r="AW13" s="1"/>
      <c r="AX13" s="4"/>
      <c r="AY13" s="1"/>
      <c r="AZ13" s="1"/>
      <c r="BA13" s="1"/>
      <c r="BB13" s="1"/>
      <c r="BC13" s="1"/>
      <c r="BD13" s="5"/>
      <c r="BE13" s="7"/>
      <c r="BF13" s="1"/>
      <c r="BG13" s="4"/>
      <c r="BH13" s="1"/>
      <c r="BI13" s="1"/>
      <c r="BJ13" s="1"/>
      <c r="BK13" s="1"/>
      <c r="BL13" s="1"/>
      <c r="BM13" s="4"/>
      <c r="BN13" s="7">
        <v>1.0</v>
      </c>
      <c r="BO13" s="1"/>
      <c r="BP13" s="4"/>
      <c r="BQ13" s="7">
        <v>0.0</v>
      </c>
      <c r="BR13" s="1"/>
      <c r="BS13" s="4"/>
      <c r="BT13" s="15"/>
      <c r="BU13" s="1"/>
      <c r="BV13" s="4"/>
      <c r="BW13" s="7">
        <v>0.0</v>
      </c>
      <c r="BX13" s="1"/>
      <c r="BY13" s="4"/>
      <c r="BZ13" s="7">
        <v>0.0</v>
      </c>
      <c r="CA13" s="1"/>
      <c r="CB13" s="4"/>
      <c r="CC13" s="7"/>
      <c r="CD13" s="1"/>
      <c r="CE13" s="4"/>
      <c r="CH13" s="1"/>
      <c r="CI13" s="1"/>
      <c r="CJ13" s="1"/>
      <c r="CK13" s="4"/>
      <c r="CL13" s="15"/>
      <c r="CM13" s="1"/>
      <c r="CN13" s="1"/>
      <c r="CO13" s="1"/>
      <c r="CP13" s="1"/>
      <c r="CQ13" s="4"/>
      <c r="CR13" s="15"/>
      <c r="CS13" s="1"/>
      <c r="CT13" s="4"/>
      <c r="CV13" s="1"/>
      <c r="CW13" s="4"/>
    </row>
    <row r="14">
      <c r="A14" s="25"/>
      <c r="C14" s="1">
        <f>sum(B12:B13)</f>
        <v>0</v>
      </c>
      <c r="D14" s="8"/>
      <c r="F14" s="1">
        <f>sum(E12:E13)</f>
        <v>0</v>
      </c>
      <c r="G14" s="8"/>
      <c r="I14" s="1">
        <f>sum(H12:H13)</f>
        <v>0</v>
      </c>
      <c r="J14" s="8"/>
      <c r="L14" s="1">
        <f>sum(K12:K13)</f>
        <v>0</v>
      </c>
      <c r="M14" s="8"/>
      <c r="O14" s="1">
        <f>sum(N12:N13)</f>
        <v>1</v>
      </c>
      <c r="P14" s="16">
        <f>O14/O$3*2000</f>
        <v>3.584229391</v>
      </c>
      <c r="Q14" s="1"/>
      <c r="R14" s="3"/>
      <c r="S14" s="3">
        <v>0.0</v>
      </c>
      <c r="T14" s="26">
        <v>0.0</v>
      </c>
      <c r="U14" s="12"/>
      <c r="V14" s="3">
        <v>0.0</v>
      </c>
      <c r="W14" s="26">
        <v>0.0</v>
      </c>
      <c r="X14" s="12"/>
      <c r="Y14" s="1">
        <f>sum(X12:X13)</f>
        <v>1</v>
      </c>
      <c r="Z14" s="16">
        <f>Y14/Y$3*2000</f>
        <v>4.221635884</v>
      </c>
      <c r="AA14" s="12"/>
      <c r="AB14" s="1">
        <f>sum(AA12:AA13)</f>
        <v>0</v>
      </c>
      <c r="AC14" s="16">
        <f>AB14/AB$3*2000</f>
        <v>0</v>
      </c>
      <c r="AD14" s="2"/>
      <c r="AE14" s="1">
        <f>sum(AD12:AD13)</f>
        <v>0</v>
      </c>
      <c r="AF14" s="16">
        <f>AE14/AE$3*2000</f>
        <v>0</v>
      </c>
      <c r="AG14" s="2"/>
      <c r="AH14" s="1">
        <f>sum(AG12:AG13)</f>
        <v>1</v>
      </c>
      <c r="AI14" s="16">
        <f>AH14/AH$3*2000</f>
        <v>3.490401396</v>
      </c>
      <c r="AJ14" s="2"/>
      <c r="AK14" s="1">
        <f>sum(AJ12:AJ13)</f>
        <v>0</v>
      </c>
      <c r="AL14" s="16">
        <f>AK14/AK$3*2000</f>
        <v>0</v>
      </c>
      <c r="AM14" s="2"/>
      <c r="AN14" s="1">
        <f>sum(AM12:AM13)</f>
        <v>0</v>
      </c>
      <c r="AO14" s="16">
        <f>AN14/AN$3*2000</f>
        <v>0</v>
      </c>
      <c r="AP14" s="2"/>
      <c r="AQ14" s="1">
        <f>sum(AP12:AP13)</f>
        <v>2</v>
      </c>
      <c r="AR14" s="16">
        <f>AQ14/AQ$3*2000</f>
        <v>2.014098691</v>
      </c>
      <c r="AS14" s="2"/>
      <c r="AT14" s="1">
        <f>sum(AS12:AS13)</f>
        <v>0</v>
      </c>
      <c r="AU14" s="16">
        <f>AT14/AT$3*2000</f>
        <v>0</v>
      </c>
      <c r="AV14" s="2"/>
      <c r="AW14" s="1">
        <f>sum(AV12:AV13)</f>
        <v>0</v>
      </c>
      <c r="AX14" s="16">
        <f>AW14/AW$3*2000</f>
        <v>0</v>
      </c>
      <c r="AY14" s="2"/>
      <c r="AZ14" s="2"/>
      <c r="BA14" s="2"/>
      <c r="BB14" s="2"/>
      <c r="BC14" s="3">
        <v>0.0</v>
      </c>
      <c r="BD14" s="18">
        <f>BC14/BC$3*2000</f>
        <v>0</v>
      </c>
      <c r="BE14" s="2"/>
      <c r="BF14" s="1">
        <f>sum(BE12:BE13)</f>
        <v>0</v>
      </c>
      <c r="BG14" s="16">
        <f>BF14/BF$3*2000</f>
        <v>0</v>
      </c>
      <c r="BH14" s="3"/>
      <c r="BI14" s="3"/>
      <c r="BJ14" s="3"/>
      <c r="BK14" s="3"/>
      <c r="BL14" s="3">
        <v>0.0</v>
      </c>
      <c r="BM14" s="16">
        <f>BL14/BL$3*2000</f>
        <v>0</v>
      </c>
      <c r="BN14" s="7"/>
      <c r="BO14" s="1">
        <f>sum(BN12:BN13)</f>
        <v>1</v>
      </c>
      <c r="BP14" s="16">
        <f>BO14/BO$3*2000</f>
        <v>1.282051282</v>
      </c>
      <c r="BQ14" s="7"/>
      <c r="BR14" s="1">
        <f>sum(BQ12:BQ13)</f>
        <v>0</v>
      </c>
      <c r="BS14" s="16">
        <f>BR14/BR$3*2000</f>
        <v>0</v>
      </c>
      <c r="BT14" s="7"/>
      <c r="BU14" s="15">
        <f>sum(BT12:BT13)</f>
        <v>0</v>
      </c>
      <c r="BV14" s="16">
        <f>BU14/BU$3*2000</f>
        <v>0</v>
      </c>
      <c r="BW14" s="7"/>
      <c r="BX14" s="1">
        <f>sum(BW12:BW13)</f>
        <v>0</v>
      </c>
      <c r="BY14" s="16">
        <f>BX14/BX$3*2000</f>
        <v>0</v>
      </c>
      <c r="BZ14" s="7"/>
      <c r="CA14" s="1">
        <f>sum(BZ12:BZ13)</f>
        <v>0</v>
      </c>
      <c r="CB14" s="16">
        <f>CA14/CA$3*2000</f>
        <v>0</v>
      </c>
      <c r="CC14" s="7"/>
      <c r="CD14" s="1">
        <f>sum(CC12:CC13)</f>
        <v>1</v>
      </c>
      <c r="CE14" s="16">
        <f>CD14/CD$3*2000</f>
        <v>3.710575139</v>
      </c>
      <c r="CF14" s="7"/>
      <c r="CH14" s="1"/>
      <c r="CI14" s="1"/>
      <c r="CJ14" s="1">
        <f>sum(CI12:CI13)</f>
        <v>0</v>
      </c>
      <c r="CK14" s="16">
        <f>CJ14/CJ$3*2000</f>
        <v>0</v>
      </c>
      <c r="CL14" s="10"/>
      <c r="CM14" s="3"/>
      <c r="CN14" s="1"/>
      <c r="CO14" s="1"/>
      <c r="CP14" s="1">
        <f>sum(CO12:CO13)</f>
        <v>0</v>
      </c>
      <c r="CQ14" s="16">
        <f>CP14/CP$3*2000</f>
        <v>0</v>
      </c>
      <c r="CR14" s="10"/>
      <c r="CS14" s="15">
        <f>sum(CR12:CR13)</f>
        <v>0</v>
      </c>
      <c r="CT14" s="16">
        <f>CS14/CS$3*2000</f>
        <v>0</v>
      </c>
      <c r="CV14" s="1">
        <f>sum(CU12:CU13)</f>
        <v>0</v>
      </c>
      <c r="CW14" s="16">
        <f>CV14/CV$3*2000</f>
        <v>0</v>
      </c>
    </row>
    <row r="15">
      <c r="A15" s="25" t="s">
        <v>53</v>
      </c>
      <c r="C15" s="1"/>
      <c r="D15" s="8"/>
      <c r="E15" s="12">
        <v>9.0</v>
      </c>
      <c r="F15" s="1"/>
      <c r="G15" s="8"/>
      <c r="H15" s="12">
        <v>2.0</v>
      </c>
      <c r="I15" s="1"/>
      <c r="J15" s="8"/>
      <c r="K15" s="12">
        <v>3.0</v>
      </c>
      <c r="L15" s="1"/>
      <c r="M15" s="8"/>
      <c r="N15" s="12">
        <v>2.0</v>
      </c>
      <c r="O15" s="1"/>
      <c r="P15" s="8"/>
      <c r="Q15" s="1"/>
      <c r="R15" s="3">
        <v>1.0</v>
      </c>
      <c r="S15" s="1"/>
      <c r="T15" s="8"/>
      <c r="U15" s="12">
        <v>3.0</v>
      </c>
      <c r="V15" s="1"/>
      <c r="W15" s="8"/>
      <c r="X15" s="12">
        <v>7.0</v>
      </c>
      <c r="Y15" s="1"/>
      <c r="Z15" s="8"/>
      <c r="AA15" s="12">
        <v>12.0</v>
      </c>
      <c r="AB15" s="1"/>
      <c r="AC15" s="8"/>
      <c r="AD15" s="2">
        <v>3.0</v>
      </c>
      <c r="AE15" s="1"/>
      <c r="AF15" s="8"/>
      <c r="AG15" s="12">
        <v>5.0</v>
      </c>
      <c r="AH15" s="1"/>
      <c r="AI15" s="8"/>
      <c r="AK15" s="1"/>
      <c r="AL15" s="8"/>
      <c r="AN15" s="1"/>
      <c r="AO15" s="8"/>
      <c r="AP15" s="7">
        <v>11.0</v>
      </c>
      <c r="AQ15" s="1"/>
      <c r="AR15" s="8"/>
      <c r="AS15" s="7">
        <v>9.0</v>
      </c>
      <c r="AT15" s="1"/>
      <c r="AU15" s="8"/>
      <c r="AV15" s="12">
        <v>7.0</v>
      </c>
      <c r="AW15" s="1"/>
      <c r="AX15" s="8"/>
      <c r="AY15" s="12"/>
      <c r="AZ15" s="12">
        <v>1.0</v>
      </c>
      <c r="BA15" s="7">
        <v>1.0</v>
      </c>
      <c r="BB15" s="12">
        <v>1.0</v>
      </c>
      <c r="BC15" s="1"/>
      <c r="BD15" s="9"/>
      <c r="BE15" s="12">
        <v>1.0</v>
      </c>
      <c r="BF15" s="1"/>
      <c r="BG15" s="8"/>
      <c r="BH15" s="3">
        <v>1.0</v>
      </c>
      <c r="BI15" s="3">
        <v>3.0</v>
      </c>
      <c r="BJ15" s="3">
        <v>3.0</v>
      </c>
      <c r="BK15" s="3">
        <v>1.0</v>
      </c>
      <c r="BL15" s="1"/>
      <c r="BM15" s="8"/>
      <c r="BN15" s="7">
        <v>1.0</v>
      </c>
      <c r="BO15" s="1"/>
      <c r="BP15" s="8"/>
      <c r="BQ15" s="7">
        <v>4.0</v>
      </c>
      <c r="BR15" s="1"/>
      <c r="BS15" s="8"/>
      <c r="BT15" s="10"/>
      <c r="BU15" s="1"/>
      <c r="BV15" s="8"/>
      <c r="BW15" s="7">
        <v>1.0</v>
      </c>
      <c r="BX15" s="1"/>
      <c r="BY15" s="8"/>
      <c r="BZ15" s="7">
        <v>1.0</v>
      </c>
      <c r="CA15" s="1"/>
      <c r="CB15" s="8"/>
      <c r="CC15" s="7"/>
      <c r="CD15" s="1"/>
      <c r="CE15" s="8"/>
      <c r="CH15" s="1"/>
      <c r="CI15" s="1"/>
      <c r="CJ15" s="1"/>
      <c r="CK15" s="8"/>
      <c r="CL15" s="10"/>
      <c r="CM15" s="3">
        <v>1.0</v>
      </c>
      <c r="CN15" s="1"/>
      <c r="CO15" s="1"/>
      <c r="CP15" s="1"/>
      <c r="CQ15" s="8"/>
      <c r="CR15" s="10">
        <v>4.0</v>
      </c>
      <c r="CS15" s="1"/>
      <c r="CT15" s="8"/>
      <c r="CV15" s="1"/>
      <c r="CW15" s="8"/>
    </row>
    <row r="16">
      <c r="A16" s="25" t="s">
        <v>54</v>
      </c>
      <c r="B16" s="2">
        <v>8.0</v>
      </c>
      <c r="C16" s="1"/>
      <c r="D16" s="8"/>
      <c r="E16" s="12">
        <v>8.0</v>
      </c>
      <c r="F16" s="1"/>
      <c r="G16" s="8"/>
      <c r="H16" s="12">
        <v>5.0</v>
      </c>
      <c r="I16" s="1"/>
      <c r="J16" s="8"/>
      <c r="K16" s="12">
        <v>6.0</v>
      </c>
      <c r="L16" s="1"/>
      <c r="M16" s="8"/>
      <c r="N16" s="12">
        <v>7.0</v>
      </c>
      <c r="O16" s="1"/>
      <c r="P16" s="8"/>
      <c r="Q16" s="3">
        <v>3.0</v>
      </c>
      <c r="R16" s="3">
        <v>2.0</v>
      </c>
      <c r="S16" s="1"/>
      <c r="T16" s="8"/>
      <c r="U16" s="12">
        <v>5.0</v>
      </c>
      <c r="V16" s="1"/>
      <c r="W16" s="8"/>
      <c r="X16" s="12">
        <v>7.0</v>
      </c>
      <c r="Y16" s="1"/>
      <c r="Z16" s="8"/>
      <c r="AA16" s="12">
        <v>8.0</v>
      </c>
      <c r="AB16" s="1"/>
      <c r="AC16" s="8"/>
      <c r="AD16" s="2">
        <v>8.0</v>
      </c>
      <c r="AE16" s="1"/>
      <c r="AF16" s="8"/>
      <c r="AG16" s="12">
        <v>6.0</v>
      </c>
      <c r="AH16" s="1"/>
      <c r="AI16" s="8"/>
      <c r="AJ16" s="2">
        <v>1.0</v>
      </c>
      <c r="AK16" s="1"/>
      <c r="AL16" s="8"/>
      <c r="AN16" s="1"/>
      <c r="AO16" s="8"/>
      <c r="AP16" s="7">
        <v>12.0</v>
      </c>
      <c r="AQ16" s="1"/>
      <c r="AR16" s="8"/>
      <c r="AS16" s="7">
        <v>10.0</v>
      </c>
      <c r="AT16" s="1"/>
      <c r="AU16" s="8"/>
      <c r="AV16" s="12">
        <v>20.0</v>
      </c>
      <c r="AW16" s="1"/>
      <c r="AX16" s="8"/>
      <c r="AY16" s="12"/>
      <c r="AZ16" s="12">
        <v>3.0</v>
      </c>
      <c r="BA16" s="7">
        <v>2.0</v>
      </c>
      <c r="BB16" s="12">
        <v>3.0</v>
      </c>
      <c r="BC16" s="1"/>
      <c r="BD16" s="9"/>
      <c r="BE16" s="12">
        <v>2.0</v>
      </c>
      <c r="BF16" s="1"/>
      <c r="BG16" s="8"/>
      <c r="BH16" s="3">
        <v>3.0</v>
      </c>
      <c r="BI16" s="3">
        <v>3.0</v>
      </c>
      <c r="BJ16" s="3">
        <v>2.0</v>
      </c>
      <c r="BK16" s="3">
        <v>2.0</v>
      </c>
      <c r="BL16" s="1"/>
      <c r="BM16" s="8"/>
      <c r="BN16" s="7">
        <v>4.0</v>
      </c>
      <c r="BO16" s="1"/>
      <c r="BP16" s="8"/>
      <c r="BQ16" s="7">
        <v>5.0</v>
      </c>
      <c r="BR16" s="1"/>
      <c r="BS16" s="8"/>
      <c r="BT16" s="10">
        <v>2.0</v>
      </c>
      <c r="BU16" s="1"/>
      <c r="BV16" s="8"/>
      <c r="BW16" s="7">
        <v>6.0</v>
      </c>
      <c r="BX16" s="1"/>
      <c r="BY16" s="8"/>
      <c r="BZ16" s="7">
        <v>0.0</v>
      </c>
      <c r="CA16" s="1"/>
      <c r="CB16" s="8"/>
      <c r="CC16" s="7"/>
      <c r="CD16" s="1"/>
      <c r="CE16" s="8"/>
      <c r="CF16" s="2">
        <v>1.0</v>
      </c>
      <c r="CG16" s="2">
        <v>1.0</v>
      </c>
      <c r="CH16" s="3">
        <v>1.0</v>
      </c>
      <c r="CI16" s="3">
        <v>1.0</v>
      </c>
      <c r="CJ16" s="1"/>
      <c r="CK16" s="8"/>
      <c r="CL16" s="11"/>
      <c r="CM16" s="1"/>
      <c r="CN16" s="1"/>
      <c r="CO16" s="1"/>
      <c r="CP16" s="1"/>
      <c r="CQ16" s="8"/>
      <c r="CR16" s="10">
        <v>3.0</v>
      </c>
      <c r="CS16" s="1"/>
      <c r="CT16" s="8"/>
      <c r="CV16" s="1"/>
      <c r="CW16" s="8"/>
    </row>
    <row r="17">
      <c r="A17" s="25" t="s">
        <v>55</v>
      </c>
      <c r="C17" s="1"/>
      <c r="D17" s="8"/>
      <c r="E17" s="12">
        <v>1.0</v>
      </c>
      <c r="F17" s="1"/>
      <c r="G17" s="8"/>
      <c r="H17" s="7"/>
      <c r="I17" s="1"/>
      <c r="J17" s="8"/>
      <c r="K17" s="12">
        <v>1.0</v>
      </c>
      <c r="L17" s="1"/>
      <c r="M17" s="8"/>
      <c r="N17" s="12"/>
      <c r="O17" s="1"/>
      <c r="P17" s="8"/>
      <c r="Q17" s="1"/>
      <c r="R17" s="3">
        <v>1.0</v>
      </c>
      <c r="S17" s="1"/>
      <c r="T17" s="8"/>
      <c r="U17" s="12"/>
      <c r="V17" s="1"/>
      <c r="W17" s="8"/>
      <c r="X17" s="12">
        <v>2.0</v>
      </c>
      <c r="Y17" s="1"/>
      <c r="Z17" s="8"/>
      <c r="AA17" s="12">
        <v>6.0</v>
      </c>
      <c r="AB17" s="1"/>
      <c r="AC17" s="8"/>
      <c r="AE17" s="1"/>
      <c r="AF17" s="8"/>
      <c r="AG17" s="7"/>
      <c r="AH17" s="1"/>
      <c r="AI17" s="8"/>
      <c r="AJ17" s="2">
        <v>1.0</v>
      </c>
      <c r="AK17" s="1"/>
      <c r="AL17" s="8"/>
      <c r="AN17" s="1"/>
      <c r="AO17" s="8"/>
      <c r="AP17" s="7">
        <v>2.0</v>
      </c>
      <c r="AQ17" s="1"/>
      <c r="AR17" s="8"/>
      <c r="AS17" s="7">
        <v>4.0</v>
      </c>
      <c r="AT17" s="1"/>
      <c r="AU17" s="8"/>
      <c r="AV17" s="12">
        <v>5.0</v>
      </c>
      <c r="AW17" s="1"/>
      <c r="AX17" s="8"/>
      <c r="AY17" s="7"/>
      <c r="AZ17" s="7"/>
      <c r="BA17" s="7">
        <v>1.0</v>
      </c>
      <c r="BB17" s="7"/>
      <c r="BC17" s="1"/>
      <c r="BD17" s="9"/>
      <c r="BE17" s="7"/>
      <c r="BF17" s="1"/>
      <c r="BG17" s="8"/>
      <c r="BH17" s="3">
        <v>0.0</v>
      </c>
      <c r="BI17" s="3">
        <v>0.0</v>
      </c>
      <c r="BJ17" s="3">
        <v>0.0</v>
      </c>
      <c r="BK17" s="3">
        <v>5.0</v>
      </c>
      <c r="BL17" s="1"/>
      <c r="BM17" s="8"/>
      <c r="BN17" s="7">
        <v>0.0</v>
      </c>
      <c r="BO17" s="1"/>
      <c r="BP17" s="8"/>
      <c r="BQ17" s="7">
        <v>0.0</v>
      </c>
      <c r="BR17" s="1"/>
      <c r="BS17" s="8"/>
      <c r="BT17" s="11"/>
      <c r="BU17" s="1"/>
      <c r="BV17" s="8"/>
      <c r="BW17" s="7">
        <v>0.0</v>
      </c>
      <c r="BX17" s="1"/>
      <c r="BY17" s="8"/>
      <c r="BZ17" s="7">
        <v>0.0</v>
      </c>
      <c r="CA17" s="1"/>
      <c r="CB17" s="8"/>
      <c r="CC17" s="7"/>
      <c r="CD17" s="1"/>
      <c r="CE17" s="8"/>
      <c r="CH17" s="3">
        <v>1.0</v>
      </c>
      <c r="CI17" s="2">
        <v>1.0</v>
      </c>
      <c r="CJ17" s="1"/>
      <c r="CK17" s="8"/>
      <c r="CL17" s="11"/>
      <c r="CM17" s="1"/>
      <c r="CN17" s="1"/>
      <c r="CO17" s="1"/>
      <c r="CP17" s="1"/>
      <c r="CQ17" s="8"/>
      <c r="CR17" s="11"/>
      <c r="CS17" s="1"/>
      <c r="CT17" s="8"/>
      <c r="CV17" s="1"/>
      <c r="CW17" s="8"/>
    </row>
    <row r="18">
      <c r="A18" s="25" t="s">
        <v>56</v>
      </c>
      <c r="B18" s="2">
        <v>6.0</v>
      </c>
      <c r="C18" s="1"/>
      <c r="D18" s="8"/>
      <c r="E18" s="12">
        <v>7.0</v>
      </c>
      <c r="F18" s="1"/>
      <c r="G18" s="8"/>
      <c r="H18" s="12">
        <v>5.0</v>
      </c>
      <c r="I18" s="1"/>
      <c r="J18" s="8"/>
      <c r="K18" s="12">
        <v>3.0</v>
      </c>
      <c r="L18" s="1"/>
      <c r="M18" s="8"/>
      <c r="N18" s="12">
        <v>2.0</v>
      </c>
      <c r="O18" s="1"/>
      <c r="P18" s="8"/>
      <c r="Q18" s="3">
        <v>1.0</v>
      </c>
      <c r="R18" s="1"/>
      <c r="S18" s="1"/>
      <c r="T18" s="8"/>
      <c r="U18" s="12">
        <v>1.0</v>
      </c>
      <c r="V18" s="1"/>
      <c r="W18" s="8"/>
      <c r="X18" s="12">
        <v>5.0</v>
      </c>
      <c r="Y18" s="1"/>
      <c r="Z18" s="8"/>
      <c r="AA18" s="12">
        <v>9.0</v>
      </c>
      <c r="AB18" s="1"/>
      <c r="AC18" s="8"/>
      <c r="AD18" s="2">
        <v>4.0</v>
      </c>
      <c r="AE18" s="1"/>
      <c r="AF18" s="8"/>
      <c r="AG18" s="12">
        <v>12.0</v>
      </c>
      <c r="AH18" s="1"/>
      <c r="AI18" s="8"/>
      <c r="AJ18" s="2">
        <v>1.0</v>
      </c>
      <c r="AK18" s="1"/>
      <c r="AL18" s="8"/>
      <c r="AN18" s="1"/>
      <c r="AO18" s="8"/>
      <c r="AP18" s="7">
        <v>9.0</v>
      </c>
      <c r="AQ18" s="1"/>
      <c r="AR18" s="8"/>
      <c r="AS18" s="7">
        <v>8.0</v>
      </c>
      <c r="AT18" s="1"/>
      <c r="AU18" s="8"/>
      <c r="AV18" s="12">
        <v>3.0</v>
      </c>
      <c r="AW18" s="1"/>
      <c r="AX18" s="8"/>
      <c r="AY18" s="7"/>
      <c r="AZ18" s="7"/>
      <c r="BA18" s="7">
        <v>1.0</v>
      </c>
      <c r="BB18" s="7"/>
      <c r="BC18" s="1"/>
      <c r="BD18" s="9"/>
      <c r="BE18" s="12">
        <v>1.0</v>
      </c>
      <c r="BF18" s="1"/>
      <c r="BG18" s="8"/>
      <c r="BH18" s="3">
        <v>3.0</v>
      </c>
      <c r="BI18" s="3">
        <v>1.0</v>
      </c>
      <c r="BJ18" s="3">
        <v>1.0</v>
      </c>
      <c r="BK18" s="3">
        <v>0.0</v>
      </c>
      <c r="BL18" s="1"/>
      <c r="BM18" s="8"/>
      <c r="BN18" s="7">
        <v>6.0</v>
      </c>
      <c r="BO18" s="1"/>
      <c r="BP18" s="8"/>
      <c r="BQ18" s="7">
        <v>6.0</v>
      </c>
      <c r="BR18" s="1"/>
      <c r="BS18" s="8"/>
      <c r="BT18" s="10">
        <v>1.0</v>
      </c>
      <c r="BU18" s="1"/>
      <c r="BV18" s="8"/>
      <c r="BW18" s="7">
        <v>2.0</v>
      </c>
      <c r="BX18" s="1"/>
      <c r="BY18" s="8"/>
      <c r="BZ18" s="7">
        <v>0.0</v>
      </c>
      <c r="CA18" s="1"/>
      <c r="CB18" s="8"/>
      <c r="CC18" s="7"/>
      <c r="CD18" s="1"/>
      <c r="CE18" s="8"/>
      <c r="CH18" s="1"/>
      <c r="CI18" s="1"/>
      <c r="CJ18" s="1"/>
      <c r="CK18" s="8"/>
      <c r="CL18" s="11"/>
      <c r="CM18" s="1"/>
      <c r="CN18" s="1"/>
      <c r="CO18" s="3">
        <v>1.0</v>
      </c>
      <c r="CP18" s="1"/>
      <c r="CQ18" s="8"/>
      <c r="CR18" s="11"/>
      <c r="CS18" s="1"/>
      <c r="CT18" s="8"/>
      <c r="CV18" s="1"/>
      <c r="CW18" s="8"/>
    </row>
    <row r="19">
      <c r="A19" s="25" t="s">
        <v>57</v>
      </c>
      <c r="B19" s="2">
        <v>10.0</v>
      </c>
      <c r="C19" s="1"/>
      <c r="D19" s="8"/>
      <c r="E19" s="12">
        <v>12.0</v>
      </c>
      <c r="F19" s="1"/>
      <c r="G19" s="8"/>
      <c r="H19" s="12">
        <v>9.0</v>
      </c>
      <c r="I19" s="1"/>
      <c r="J19" s="8"/>
      <c r="K19" s="12">
        <v>10.0</v>
      </c>
      <c r="L19" s="1"/>
      <c r="M19" s="8"/>
      <c r="N19" s="12">
        <v>2.0</v>
      </c>
      <c r="O19" s="1"/>
      <c r="P19" s="8"/>
      <c r="Q19" s="3">
        <v>1.0</v>
      </c>
      <c r="R19" s="3">
        <v>1.0</v>
      </c>
      <c r="S19" s="1"/>
      <c r="T19" s="8"/>
      <c r="U19" s="12">
        <v>5.0</v>
      </c>
      <c r="V19" s="1"/>
      <c r="W19" s="8"/>
      <c r="X19" s="12">
        <v>11.0</v>
      </c>
      <c r="Y19" s="1"/>
      <c r="Z19" s="8"/>
      <c r="AA19" s="12">
        <v>4.0</v>
      </c>
      <c r="AB19" s="1"/>
      <c r="AC19" s="8"/>
      <c r="AD19" s="2">
        <v>12.0</v>
      </c>
      <c r="AE19" s="1"/>
      <c r="AF19" s="8"/>
      <c r="AG19" s="12">
        <v>7.0</v>
      </c>
      <c r="AH19" s="1"/>
      <c r="AI19" s="8"/>
      <c r="AK19" s="1"/>
      <c r="AL19" s="8"/>
      <c r="AN19" s="1"/>
      <c r="AO19" s="8"/>
      <c r="AP19" s="7">
        <v>7.0</v>
      </c>
      <c r="AQ19" s="1"/>
      <c r="AR19" s="8"/>
      <c r="AS19" s="7">
        <v>15.0</v>
      </c>
      <c r="AT19" s="1"/>
      <c r="AU19" s="8"/>
      <c r="AV19" s="12">
        <v>2.0</v>
      </c>
      <c r="AW19" s="1"/>
      <c r="AX19" s="8"/>
      <c r="AY19" s="7"/>
      <c r="AZ19" s="7"/>
      <c r="BA19" s="7"/>
      <c r="BB19" s="7"/>
      <c r="BC19" s="1"/>
      <c r="BD19" s="9"/>
      <c r="BE19" s="7"/>
      <c r="BF19" s="1"/>
      <c r="BG19" s="8"/>
      <c r="BH19" s="3">
        <v>4.0</v>
      </c>
      <c r="BI19" s="3">
        <v>1.0</v>
      </c>
      <c r="BJ19" s="3">
        <v>0.0</v>
      </c>
      <c r="BK19" s="3">
        <v>1.0</v>
      </c>
      <c r="BL19" s="1"/>
      <c r="BM19" s="8"/>
      <c r="BN19" s="7">
        <v>5.0</v>
      </c>
      <c r="BO19" s="1"/>
      <c r="BP19" s="8"/>
      <c r="BQ19" s="7">
        <v>8.0</v>
      </c>
      <c r="BR19" s="1"/>
      <c r="BS19" s="8"/>
      <c r="BT19" s="10">
        <v>2.0</v>
      </c>
      <c r="BU19" s="1"/>
      <c r="BV19" s="8"/>
      <c r="BW19" s="7">
        <v>0.0</v>
      </c>
      <c r="BX19" s="1"/>
      <c r="BY19" s="8"/>
      <c r="BZ19" s="7">
        <v>0.0</v>
      </c>
      <c r="CA19" s="1"/>
      <c r="CB19" s="8"/>
      <c r="CC19" s="7"/>
      <c r="CD19" s="1"/>
      <c r="CE19" s="8"/>
      <c r="CH19" s="1"/>
      <c r="CI19" s="3">
        <v>3.0</v>
      </c>
      <c r="CJ19" s="1"/>
      <c r="CK19" s="8"/>
      <c r="CL19" s="11"/>
      <c r="CM19" s="3">
        <v>1.0</v>
      </c>
      <c r="CN19" s="1"/>
      <c r="CO19" s="1"/>
      <c r="CP19" s="1"/>
      <c r="CQ19" s="8"/>
      <c r="CR19" s="10">
        <v>2.0</v>
      </c>
      <c r="CS19" s="1"/>
      <c r="CT19" s="8"/>
      <c r="CV19" s="1"/>
      <c r="CW19" s="8"/>
    </row>
    <row r="20">
      <c r="A20" s="25" t="s">
        <v>58</v>
      </c>
      <c r="B20" s="2">
        <v>24.0</v>
      </c>
      <c r="C20" s="1"/>
      <c r="D20" s="8"/>
      <c r="E20" s="12">
        <v>27.0</v>
      </c>
      <c r="F20" s="1"/>
      <c r="G20" s="8"/>
      <c r="H20" s="12">
        <v>6.0</v>
      </c>
      <c r="I20" s="1"/>
      <c r="J20" s="8"/>
      <c r="K20" s="12">
        <v>2.0</v>
      </c>
      <c r="L20" s="1"/>
      <c r="M20" s="8"/>
      <c r="N20" s="12">
        <v>13.0</v>
      </c>
      <c r="O20" s="1"/>
      <c r="P20" s="8"/>
      <c r="Q20" s="3">
        <v>1.0</v>
      </c>
      <c r="R20" s="1"/>
      <c r="S20" s="1"/>
      <c r="T20" s="8"/>
      <c r="U20" s="12">
        <v>4.0</v>
      </c>
      <c r="V20" s="1"/>
      <c r="W20" s="8"/>
      <c r="X20" s="12">
        <v>28.0</v>
      </c>
      <c r="Y20" s="1"/>
      <c r="Z20" s="8"/>
      <c r="AA20" s="12">
        <v>10.0</v>
      </c>
      <c r="AB20" s="1"/>
      <c r="AC20" s="8"/>
      <c r="AD20" s="2">
        <v>8.0</v>
      </c>
      <c r="AE20" s="1"/>
      <c r="AF20" s="8"/>
      <c r="AG20" s="12">
        <v>10.0</v>
      </c>
      <c r="AH20" s="1"/>
      <c r="AI20" s="8"/>
      <c r="AK20" s="1"/>
      <c r="AL20" s="8"/>
      <c r="AN20" s="1"/>
      <c r="AO20" s="8"/>
      <c r="AP20" s="7">
        <v>17.0</v>
      </c>
      <c r="AQ20" s="1"/>
      <c r="AR20" s="8"/>
      <c r="AS20" s="7">
        <v>19.0</v>
      </c>
      <c r="AT20" s="1"/>
      <c r="AU20" s="8"/>
      <c r="AV20" s="12">
        <v>11.0</v>
      </c>
      <c r="AW20" s="1"/>
      <c r="AX20" s="8"/>
      <c r="AY20" s="7"/>
      <c r="AZ20" s="7"/>
      <c r="BA20" s="7">
        <v>1.0</v>
      </c>
      <c r="BB20" s="12">
        <v>1.0</v>
      </c>
      <c r="BC20" s="1"/>
      <c r="BD20" s="9"/>
      <c r="BE20" s="12">
        <v>1.0</v>
      </c>
      <c r="BF20" s="1"/>
      <c r="BG20" s="8"/>
      <c r="BH20" s="3">
        <v>7.0</v>
      </c>
      <c r="BI20" s="3">
        <v>6.0</v>
      </c>
      <c r="BJ20" s="3">
        <v>7.0</v>
      </c>
      <c r="BK20" s="3">
        <v>3.0</v>
      </c>
      <c r="BL20" s="1"/>
      <c r="BM20" s="8"/>
      <c r="BN20" s="7">
        <v>5.0</v>
      </c>
      <c r="BO20" s="1"/>
      <c r="BP20" s="8"/>
      <c r="BQ20" s="7">
        <v>3.0</v>
      </c>
      <c r="BR20" s="1"/>
      <c r="BS20" s="8"/>
      <c r="BT20" s="10"/>
      <c r="BU20" s="1"/>
      <c r="BV20" s="8"/>
      <c r="BW20" s="7">
        <v>1.0</v>
      </c>
      <c r="BX20" s="1"/>
      <c r="BY20" s="8"/>
      <c r="BZ20" s="7">
        <v>1.0</v>
      </c>
      <c r="CA20" s="1"/>
      <c r="CB20" s="8"/>
      <c r="CC20" s="7"/>
      <c r="CD20" s="1"/>
      <c r="CE20" s="8"/>
      <c r="CG20" s="2">
        <v>2.0</v>
      </c>
      <c r="CH20" s="1"/>
      <c r="CI20" s="1"/>
      <c r="CJ20" s="1"/>
      <c r="CK20" s="8"/>
      <c r="CL20" s="10"/>
      <c r="CM20" s="1"/>
      <c r="CN20" s="1"/>
      <c r="CO20" s="1"/>
      <c r="CP20" s="1"/>
      <c r="CQ20" s="8"/>
      <c r="CR20" s="10"/>
      <c r="CS20" s="1"/>
      <c r="CT20" s="8"/>
      <c r="CV20" s="1"/>
      <c r="CW20" s="8"/>
    </row>
    <row r="21">
      <c r="A21" s="27" t="s">
        <v>59</v>
      </c>
      <c r="C21" s="1"/>
      <c r="D21" s="4"/>
      <c r="E21" s="7"/>
      <c r="F21" s="1"/>
      <c r="G21" s="4"/>
      <c r="H21" s="7"/>
      <c r="I21" s="1"/>
      <c r="J21" s="4"/>
      <c r="K21" s="7"/>
      <c r="L21" s="1"/>
      <c r="M21" s="4"/>
      <c r="N21" s="7"/>
      <c r="O21" s="1"/>
      <c r="P21" s="4"/>
      <c r="Q21" s="1"/>
      <c r="R21" s="1"/>
      <c r="S21" s="1"/>
      <c r="T21" s="4"/>
      <c r="U21" s="7"/>
      <c r="V21" s="1"/>
      <c r="W21" s="4"/>
      <c r="X21" s="7"/>
      <c r="Y21" s="3" t="s">
        <v>60</v>
      </c>
      <c r="Z21" s="4"/>
      <c r="AA21" s="7"/>
      <c r="AB21" s="1"/>
      <c r="AC21" s="4"/>
      <c r="AE21" s="1"/>
      <c r="AF21" s="4"/>
      <c r="AG21" s="12">
        <v>2.0</v>
      </c>
      <c r="AH21" s="1"/>
      <c r="AI21" s="4"/>
      <c r="AK21" s="1"/>
      <c r="AL21" s="4"/>
      <c r="AN21" s="1"/>
      <c r="AO21" s="4"/>
      <c r="AP21" s="7">
        <v>0.0</v>
      </c>
      <c r="AQ21" s="1"/>
      <c r="AR21" s="4"/>
      <c r="AS21" s="7">
        <v>3.0</v>
      </c>
      <c r="AT21" s="1"/>
      <c r="AU21" s="4"/>
      <c r="AV21" s="1"/>
      <c r="AW21" s="1"/>
      <c r="AX21" s="4"/>
      <c r="AY21" s="1"/>
      <c r="AZ21" s="1"/>
      <c r="BA21" s="1"/>
      <c r="BB21" s="1"/>
      <c r="BC21" s="1"/>
      <c r="BD21" s="5"/>
      <c r="BE21" s="7"/>
      <c r="BF21" s="1"/>
      <c r="BG21" s="4"/>
      <c r="BH21" s="1"/>
      <c r="BI21" s="1"/>
      <c r="BJ21" s="1"/>
      <c r="BK21" s="1"/>
      <c r="BL21" s="1"/>
      <c r="BM21" s="4"/>
      <c r="BN21" s="7">
        <v>0.0</v>
      </c>
      <c r="BO21" s="1"/>
      <c r="BP21" s="4"/>
      <c r="BQ21" s="7">
        <v>0.0</v>
      </c>
      <c r="BR21" s="1"/>
      <c r="BS21" s="4"/>
      <c r="BT21" s="6">
        <v>1.0</v>
      </c>
      <c r="BU21" s="1"/>
      <c r="BV21" s="4"/>
      <c r="BW21" s="7">
        <v>1.0</v>
      </c>
      <c r="BX21" s="1"/>
      <c r="BY21" s="4"/>
      <c r="BZ21" s="7">
        <v>0.0</v>
      </c>
      <c r="CA21" s="1"/>
      <c r="CB21" s="4"/>
      <c r="CC21" s="12">
        <v>1.0</v>
      </c>
      <c r="CD21" s="1"/>
      <c r="CE21" s="4"/>
      <c r="CF21" s="2">
        <v>1.0</v>
      </c>
      <c r="CG21" s="2">
        <v>1.0</v>
      </c>
      <c r="CH21" s="3">
        <v>1.0</v>
      </c>
      <c r="CI21" s="1"/>
      <c r="CJ21" s="1"/>
      <c r="CK21" s="4"/>
      <c r="CL21" s="15"/>
      <c r="CM21" s="1"/>
      <c r="CN21" s="1"/>
      <c r="CO21" s="1"/>
      <c r="CP21" s="1"/>
      <c r="CQ21" s="4"/>
      <c r="CR21" s="15"/>
      <c r="CS21" s="1"/>
      <c r="CT21" s="4"/>
      <c r="CV21" s="1"/>
      <c r="CW21" s="4"/>
    </row>
    <row r="22">
      <c r="A22" s="28" t="s">
        <v>61</v>
      </c>
      <c r="B22" s="2">
        <v>4.0</v>
      </c>
      <c r="C22" s="29">
        <f>B39+B23+B19+B16+B15+B11+B9+B6</f>
        <v>51</v>
      </c>
      <c r="D22" s="30">
        <f t="shared" ref="D22:D24" si="37">C22/C$3*2000</f>
        <v>214.7368421</v>
      </c>
      <c r="E22" s="12">
        <v>5.0</v>
      </c>
      <c r="F22" s="29">
        <f>E39+E23+E19+E16+E15+E11+E9+E6</f>
        <v>66</v>
      </c>
      <c r="G22" s="30">
        <f t="shared" ref="G22:G24" si="38">F22/F$3*2000</f>
        <v>220</v>
      </c>
      <c r="H22" s="12">
        <v>2.0</v>
      </c>
      <c r="I22" s="29">
        <f>H39+H23+H19+H16+H15+H11+H9+H6</f>
        <v>29</v>
      </c>
      <c r="J22" s="30">
        <f t="shared" ref="J22:J24" si="39">I22/I$3*2000</f>
        <v>209.009009</v>
      </c>
      <c r="K22" s="12">
        <v>9.0</v>
      </c>
      <c r="L22" s="29">
        <f>K39+K23+K19+K16+K15+K11+K9+K6</f>
        <v>59</v>
      </c>
      <c r="M22" s="30">
        <f t="shared" ref="M22:M24" si="40">L22/L$3*2000</f>
        <v>220.1492537</v>
      </c>
      <c r="N22" s="12">
        <v>1.0</v>
      </c>
      <c r="O22" s="29">
        <f>N39+N23+N19+N16+N15+N11+N9+N6</f>
        <v>26</v>
      </c>
      <c r="P22" s="30">
        <f t="shared" ref="P22:P24" si="41">O22/O$3*2000</f>
        <v>93.18996416</v>
      </c>
      <c r="Q22" s="1"/>
      <c r="R22" s="1"/>
      <c r="S22" s="13">
        <f>sum(Q6:R6)+sum(Q9:R9)+sum(Q11:R11)+sum(Q15:R15)+sum(Q16:R16)+sum(Q19:R19)+sum(Q23:R23)+sum(Q39:R39)</f>
        <v>21</v>
      </c>
      <c r="T22" s="30">
        <f t="shared" ref="T22:T24" si="42">S22/S$3*2000</f>
        <v>88.42105263</v>
      </c>
      <c r="U22" s="12">
        <v>5.0</v>
      </c>
      <c r="V22" s="29">
        <f>U39+U23+U19+U16+U15+U11+U9+U6</f>
        <v>24</v>
      </c>
      <c r="W22" s="30">
        <f t="shared" ref="W22:W24" si="43">V22/V$3*2000</f>
        <v>91.42857143</v>
      </c>
      <c r="X22" s="12">
        <v>3.0</v>
      </c>
      <c r="Y22" s="29">
        <f>X39+X23+X19+X16+X15+X11+X9+X6</f>
        <v>54</v>
      </c>
      <c r="Z22" s="30">
        <f t="shared" ref="Z22:Z24" si="44">Y22/Y$3*2000</f>
        <v>227.9683377</v>
      </c>
      <c r="AA22" s="12">
        <v>2.0</v>
      </c>
      <c r="AB22" s="29">
        <f>AA39+AA23+AA19+AA16+AA15+AA11+AA9+AA6</f>
        <v>61</v>
      </c>
      <c r="AC22" s="30">
        <f t="shared" ref="AC22:AC24" si="45">AB22/AB$3*2000</f>
        <v>203.3333333</v>
      </c>
      <c r="AD22" s="2">
        <v>5.0</v>
      </c>
      <c r="AE22" s="29">
        <f>AD39+AD23+AD19+AD16+AD15+AD11+AD9+AD6</f>
        <v>39</v>
      </c>
      <c r="AF22" s="30">
        <f t="shared" ref="AF22:AF24" si="46">AE22/AE$3*2000</f>
        <v>166.4</v>
      </c>
      <c r="AG22" s="12">
        <v>6.0</v>
      </c>
      <c r="AH22" s="29">
        <f>AG39+AG23+AG19+AG16+AG15+AG11+AG9+AG6</f>
        <v>53</v>
      </c>
      <c r="AI22" s="30">
        <f t="shared" ref="AI22:AI24" si="47">AH22/AH$3*2000</f>
        <v>184.991274</v>
      </c>
      <c r="AK22" s="29">
        <f>AJ39+AJ23+AJ19+AJ16+AJ15+AJ11+AJ9+AJ6</f>
        <v>6</v>
      </c>
      <c r="AL22" s="30">
        <f t="shared" ref="AL22:AL24" si="48">AK22/AK$3*2000</f>
        <v>30.15075377</v>
      </c>
      <c r="AN22" s="29">
        <f>AM39+AM23+AM19+AM16+AM15+AM11+AM9+AM6</f>
        <v>1</v>
      </c>
      <c r="AO22" s="30">
        <f t="shared" ref="AO22:AO24" si="49">AN22/AN$3*2000</f>
        <v>8.130081301</v>
      </c>
      <c r="AP22" s="7">
        <v>2.0</v>
      </c>
      <c r="AQ22" s="29">
        <f>AP39+AP23+AP19+AP16+AP15+AP11+AP9+AP6</f>
        <v>65</v>
      </c>
      <c r="AR22" s="30">
        <f t="shared" ref="AR22:AR24" si="50">AQ22/AQ$3*2000</f>
        <v>65.45820745</v>
      </c>
      <c r="AS22" s="7">
        <v>1.0</v>
      </c>
      <c r="AT22" s="1">
        <f>AS39+AS23+AS19+AS16+AS15+AS11+AS9+AS6</f>
        <v>69</v>
      </c>
      <c r="AU22" s="4"/>
      <c r="AV22" s="3">
        <v>6.0</v>
      </c>
      <c r="AW22" s="29">
        <f>AV39+AV23+AV19+AV16+AV15+AV11+AV9+AV6</f>
        <v>61</v>
      </c>
      <c r="AX22" s="30">
        <f t="shared" ref="AX22:AX24" si="51">AW22/AW$3*2000</f>
        <v>56.48148148</v>
      </c>
      <c r="AY22" s="1"/>
      <c r="AZ22" s="1"/>
      <c r="BA22" s="1"/>
      <c r="BB22" s="1"/>
      <c r="BC22" s="13">
        <f>sum(AY6:BB6)+sum(AY9:BB9)+sum(AY11:BB11)+sum(AY15:BB15)+sum(AY16:BB16)+sum(AY19:BB19)+sum(AY23:BB23)+sum(AY39:BB39)</f>
        <v>28</v>
      </c>
      <c r="BD22" s="31">
        <f t="shared" ref="BD22:BD24" si="52">BC22/BC$3*2000</f>
        <v>35.87443946</v>
      </c>
      <c r="BE22" s="7"/>
      <c r="BF22" s="29">
        <f>BE39+BE23+BE19+BE16+BE15+BE11+BE9+BE6</f>
        <v>16</v>
      </c>
      <c r="BG22" s="30">
        <f t="shared" ref="BG22:BG24" si="53">BF22/BF$3*2000</f>
        <v>94.95548961</v>
      </c>
      <c r="BL22" s="13">
        <f>sum(BH6:BK6)+sum(BH9:BK9)+sum(BH11:BK11)+sum(BH15:BK15)+sum(BH16:BK16)+sum(BH19:BK19)+sum(BH23:BK23)+sum(BH39:BK39)</f>
        <v>49</v>
      </c>
      <c r="BM22" s="30">
        <f t="shared" ref="BM22:BM24" si="54">BL22/BL$3*2000</f>
        <v>33.20908167</v>
      </c>
      <c r="BN22" s="7">
        <v>2.0</v>
      </c>
      <c r="BO22" s="29">
        <f>BN39+BN23+BN19+BN16+BN15+BN11+BN9+BN6</f>
        <v>34</v>
      </c>
      <c r="BP22" s="30">
        <f t="shared" ref="BP22:BP24" si="55">BO22/BO$3*2000</f>
        <v>43.58974359</v>
      </c>
      <c r="BQ22" s="7">
        <v>2.0</v>
      </c>
      <c r="BR22" s="29">
        <f>BQ39+BQ23+BQ19+BQ16+BQ15+BQ11+BQ9+BQ6</f>
        <v>38</v>
      </c>
      <c r="BS22" s="30">
        <f t="shared" ref="BS22:BS24" si="56">BR22/BR$3*2000</f>
        <v>37.75459513</v>
      </c>
      <c r="BT22" s="6">
        <v>1.0</v>
      </c>
      <c r="BU22" s="32">
        <f>BT39+BT23+BT19+BT16+BT15+BT11+BT9+BT6</f>
        <v>6</v>
      </c>
      <c r="BV22" s="30">
        <f t="shared" ref="BV22:BV24" si="57">BU22/BU$3*2000</f>
        <v>24.96099844</v>
      </c>
      <c r="BW22" s="7">
        <v>0.0</v>
      </c>
      <c r="BX22" s="29">
        <f>BW39+BW23+BW19+BW16+BW15+BW11+BW9+BW6</f>
        <v>12</v>
      </c>
      <c r="BY22" s="30">
        <f t="shared" ref="BY22:BY24" si="58">BX22/BX$3*2000</f>
        <v>17.54385965</v>
      </c>
      <c r="BZ22" s="7">
        <v>0.0</v>
      </c>
      <c r="CA22" s="29">
        <f>BZ39+BZ23+BZ19+BZ16+BZ15+BZ11+BZ9+BZ6</f>
        <v>3</v>
      </c>
      <c r="CB22" s="30">
        <f t="shared" ref="CB22:CB24" si="59">CA22/CA$3*2000</f>
        <v>11.32075472</v>
      </c>
      <c r="CC22" s="7"/>
      <c r="CD22" s="29">
        <f>CC39+CC23+CC19+CC16+CC15+CC11+CC9+CC6</f>
        <v>2</v>
      </c>
      <c r="CE22" s="30">
        <f t="shared" ref="CE22:CE24" si="60">CD22/CD$3*2000</f>
        <v>7.421150278</v>
      </c>
      <c r="CH22" s="1"/>
      <c r="CI22" s="1"/>
      <c r="CJ22" s="13">
        <f>sum(CF6:CI6)+sum(CF9:CI9)+sum(CF11:CI11)+sum(CF15:CI15)+sum(CF16:CI16)+sum(CF19:CI19)+sum(CF23:CI23)+sum(CF39:CI39)</f>
        <v>13</v>
      </c>
      <c r="CK22" s="30">
        <f t="shared" ref="CK22:CK24" si="61">CJ22/CJ$3*2000</f>
        <v>9.167842031</v>
      </c>
      <c r="CL22" s="6">
        <v>1.0</v>
      </c>
      <c r="CM22" s="20">
        <v>1.0</v>
      </c>
      <c r="CN22" s="29"/>
      <c r="CO22" s="29"/>
      <c r="CP22" s="14">
        <f>sum(CL6:CO6)+sum(CL9:CO9)+sum(CL11:CO11)+sum(CL15:CO15)+sum(CL16:CO16)+sum(CL19:CO19)+sum(CL23:CO23)+sum(CL39:CO39)</f>
        <v>8</v>
      </c>
      <c r="CQ22" s="30">
        <f t="shared" ref="CQ22:CQ24" si="62">CP22/CP$3*2000</f>
        <v>10.72386059</v>
      </c>
      <c r="CR22" s="15"/>
      <c r="CS22" s="32">
        <f>CR39+CR23+CR19+CR16+CR15+CR11+CR9+CR6</f>
        <v>16</v>
      </c>
      <c r="CT22" s="30">
        <f t="shared" ref="CT22:CT24" si="63">CS22/CS$3*2000</f>
        <v>11.79288741</v>
      </c>
      <c r="CV22" s="29">
        <f>CU39+CU23+CU19+CU16+CU15+CU11+CU9+CU6</f>
        <v>0</v>
      </c>
      <c r="CW22" s="30">
        <f t="shared" ref="CW22:CW24" si="64">CV22/CV$3*2000</f>
        <v>0</v>
      </c>
    </row>
    <row r="23">
      <c r="A23" s="33" t="s">
        <v>62</v>
      </c>
      <c r="B23" s="2">
        <v>9.0</v>
      </c>
      <c r="C23" s="7">
        <f>B22+B21+B24</f>
        <v>4</v>
      </c>
      <c r="D23" s="8">
        <f t="shared" si="37"/>
        <v>16.84210526</v>
      </c>
      <c r="E23" s="12">
        <v>6.0</v>
      </c>
      <c r="F23" s="7">
        <f>E22+E21+E24</f>
        <v>5</v>
      </c>
      <c r="G23" s="8">
        <f t="shared" si="38"/>
        <v>16.66666667</v>
      </c>
      <c r="H23" s="12">
        <v>4.0</v>
      </c>
      <c r="I23" s="7">
        <f>H22+H21+H24</f>
        <v>2</v>
      </c>
      <c r="J23" s="8">
        <f t="shared" si="39"/>
        <v>14.41441441</v>
      </c>
      <c r="K23" s="12">
        <v>5.0</v>
      </c>
      <c r="L23" s="7">
        <f>K22+K21+K24</f>
        <v>9</v>
      </c>
      <c r="M23" s="8">
        <f t="shared" si="40"/>
        <v>33.58208955</v>
      </c>
      <c r="N23" s="12">
        <v>2.0</v>
      </c>
      <c r="O23" s="7">
        <f>N22+N21+N24</f>
        <v>1</v>
      </c>
      <c r="P23" s="8">
        <f t="shared" si="41"/>
        <v>3.584229391</v>
      </c>
      <c r="Q23" s="3">
        <v>2.0</v>
      </c>
      <c r="R23" s="3">
        <v>1.0</v>
      </c>
      <c r="S23" s="7">
        <f>sum(Q21:R21)+sum(Q24:R24)</f>
        <v>0</v>
      </c>
      <c r="T23" s="8">
        <f t="shared" si="42"/>
        <v>0</v>
      </c>
      <c r="U23" s="12">
        <v>3.0</v>
      </c>
      <c r="V23" s="7">
        <f>U22+U21+U24</f>
        <v>5</v>
      </c>
      <c r="W23" s="8">
        <f t="shared" si="43"/>
        <v>19.04761905</v>
      </c>
      <c r="X23" s="12">
        <v>4.0</v>
      </c>
      <c r="Y23" s="7">
        <f>X22+X21+X24</f>
        <v>3</v>
      </c>
      <c r="Z23" s="8">
        <f t="shared" si="44"/>
        <v>12.66490765</v>
      </c>
      <c r="AA23" s="12">
        <v>4.0</v>
      </c>
      <c r="AB23" s="7">
        <f>AA22+AA21+AA24</f>
        <v>2</v>
      </c>
      <c r="AC23" s="8">
        <f t="shared" si="45"/>
        <v>6.666666667</v>
      </c>
      <c r="AD23" s="2">
        <v>2.0</v>
      </c>
      <c r="AE23" s="7">
        <f>AD22+AD21+AD24</f>
        <v>5</v>
      </c>
      <c r="AF23" s="8">
        <f t="shared" si="46"/>
        <v>21.33333333</v>
      </c>
      <c r="AG23" s="12">
        <v>9.0</v>
      </c>
      <c r="AH23" s="7">
        <f>AG22+AG21+AG24</f>
        <v>9</v>
      </c>
      <c r="AI23" s="8">
        <f t="shared" si="47"/>
        <v>31.41361257</v>
      </c>
      <c r="AJ23" s="2">
        <v>1.0</v>
      </c>
      <c r="AK23" s="7">
        <f>AJ22+AJ21+AJ24</f>
        <v>0</v>
      </c>
      <c r="AL23" s="8">
        <f t="shared" si="48"/>
        <v>0</v>
      </c>
      <c r="AN23" s="7">
        <f>AM22+AM21+AM24</f>
        <v>0</v>
      </c>
      <c r="AO23" s="8">
        <f t="shared" si="49"/>
        <v>0</v>
      </c>
      <c r="AP23" s="7">
        <v>4.0</v>
      </c>
      <c r="AQ23" s="7">
        <f>AP22+AP21+AP24</f>
        <v>2</v>
      </c>
      <c r="AR23" s="8">
        <f t="shared" si="50"/>
        <v>2.014098691</v>
      </c>
      <c r="AS23" s="7">
        <v>5.0</v>
      </c>
      <c r="AT23" s="7">
        <f>AS22+AS21+AS24</f>
        <v>5</v>
      </c>
      <c r="AU23" s="8">
        <f t="shared" ref="AU23:AU24" si="65">AT23/AT$3*2000</f>
        <v>4.914004914</v>
      </c>
      <c r="AV23" s="12">
        <v>1.0</v>
      </c>
      <c r="AW23" s="7">
        <f>AV22+AV21+AV24</f>
        <v>7</v>
      </c>
      <c r="AX23" s="8">
        <f t="shared" si="51"/>
        <v>6.481481481</v>
      </c>
      <c r="AY23" s="7"/>
      <c r="AZ23" s="7"/>
      <c r="BA23" s="7">
        <v>2.0</v>
      </c>
      <c r="BB23" s="7"/>
      <c r="BC23" s="7">
        <f>sum(AY21:BB21)+sum(AY24:BB24)</f>
        <v>0</v>
      </c>
      <c r="BD23" s="9">
        <f t="shared" si="52"/>
        <v>0</v>
      </c>
      <c r="BE23" s="7"/>
      <c r="BF23" s="7">
        <f>BE22+BE21+BE24</f>
        <v>0</v>
      </c>
      <c r="BG23" s="8">
        <f t="shared" si="53"/>
        <v>0</v>
      </c>
      <c r="BH23" s="1"/>
      <c r="BJ23" s="1"/>
      <c r="BK23" s="7"/>
      <c r="BL23" s="7">
        <f>sum(BH21:BK21)+sum(BH24:BK24)</f>
        <v>0</v>
      </c>
      <c r="BM23" s="8">
        <f t="shared" si="54"/>
        <v>0</v>
      </c>
      <c r="BN23" s="7">
        <v>6.0</v>
      </c>
      <c r="BO23" s="7">
        <f>BN22+BN21+BN24</f>
        <v>2</v>
      </c>
      <c r="BP23" s="8">
        <f t="shared" si="55"/>
        <v>2.564102564</v>
      </c>
      <c r="BQ23" s="7">
        <v>2.0</v>
      </c>
      <c r="BR23" s="7">
        <f>BQ22+BQ21+BQ24</f>
        <v>2</v>
      </c>
      <c r="BS23" s="8">
        <f t="shared" si="56"/>
        <v>1.987083954</v>
      </c>
      <c r="BT23" s="2"/>
      <c r="BU23" s="11">
        <f>BT22+BT21+BT24</f>
        <v>2</v>
      </c>
      <c r="BV23" s="8">
        <f t="shared" si="57"/>
        <v>8.320332813</v>
      </c>
      <c r="BW23" s="7">
        <v>1.0</v>
      </c>
      <c r="BX23" s="7">
        <f>BW22+BW21+BW24</f>
        <v>1</v>
      </c>
      <c r="BY23" s="8">
        <f t="shared" si="58"/>
        <v>1.461988304</v>
      </c>
      <c r="BZ23" s="7">
        <v>2.0</v>
      </c>
      <c r="CA23" s="7">
        <f>BZ22+BZ21+BZ24</f>
        <v>0</v>
      </c>
      <c r="CB23" s="8">
        <f t="shared" si="59"/>
        <v>0</v>
      </c>
      <c r="CC23" s="7"/>
      <c r="CD23" s="7">
        <f>CC22+CC21+CC24</f>
        <v>1</v>
      </c>
      <c r="CE23" s="8">
        <f t="shared" si="60"/>
        <v>3.710575139</v>
      </c>
      <c r="CH23" s="1"/>
      <c r="CI23" s="3">
        <v>1.0</v>
      </c>
      <c r="CJ23" s="7">
        <f>sum(CF21:CI21)+sum(CF24:CI24)</f>
        <v>3</v>
      </c>
      <c r="CK23" s="8">
        <f t="shared" si="61"/>
        <v>2.115655853</v>
      </c>
      <c r="CL23" s="2"/>
      <c r="CM23" s="7"/>
      <c r="CN23" s="12">
        <v>2.0</v>
      </c>
      <c r="CO23" s="7"/>
      <c r="CP23" s="11">
        <f>sum(CL21:CO21)+sum(CL24:CO24)</f>
        <v>0</v>
      </c>
      <c r="CQ23" s="8">
        <f t="shared" si="62"/>
        <v>0</v>
      </c>
      <c r="CR23" s="2">
        <v>1.0</v>
      </c>
      <c r="CS23" s="11">
        <f>CR22+CR21+CR24</f>
        <v>0</v>
      </c>
      <c r="CT23" s="8">
        <f t="shared" si="63"/>
        <v>0</v>
      </c>
      <c r="CV23" s="7">
        <f>CU22+CU21+CU24</f>
        <v>0</v>
      </c>
      <c r="CW23" s="8">
        <f t="shared" si="64"/>
        <v>0</v>
      </c>
    </row>
    <row r="24">
      <c r="A24" s="28" t="s">
        <v>63</v>
      </c>
      <c r="C24" s="7">
        <f>sum(B12:B24)</f>
        <v>61</v>
      </c>
      <c r="D24" s="16">
        <f t="shared" si="37"/>
        <v>256.8421053</v>
      </c>
      <c r="E24" s="7"/>
      <c r="F24" s="7">
        <f>sum(E12:E24)</f>
        <v>75</v>
      </c>
      <c r="G24" s="16">
        <f t="shared" si="38"/>
        <v>250</v>
      </c>
      <c r="H24" s="7"/>
      <c r="I24" s="7">
        <f>sum(H12:H24)</f>
        <v>33</v>
      </c>
      <c r="J24" s="16">
        <f t="shared" si="39"/>
        <v>237.8378378</v>
      </c>
      <c r="K24" s="7"/>
      <c r="L24" s="7">
        <f>sum(K12:K24)</f>
        <v>39</v>
      </c>
      <c r="M24" s="16">
        <f t="shared" si="40"/>
        <v>145.5223881</v>
      </c>
      <c r="N24" s="7"/>
      <c r="O24" s="7">
        <f>sum(N12:N24)</f>
        <v>30</v>
      </c>
      <c r="P24" s="16">
        <f t="shared" si="41"/>
        <v>107.5268817</v>
      </c>
      <c r="Q24" s="1"/>
      <c r="R24" s="1"/>
      <c r="S24" s="7">
        <f>sum(Q12:R24)</f>
        <v>14</v>
      </c>
      <c r="T24" s="16">
        <f t="shared" si="42"/>
        <v>58.94736842</v>
      </c>
      <c r="U24" s="7"/>
      <c r="V24" s="7">
        <f>sum(U12:U24)</f>
        <v>26</v>
      </c>
      <c r="W24" s="16">
        <f t="shared" si="43"/>
        <v>99.04761905</v>
      </c>
      <c r="X24" s="7"/>
      <c r="Y24" s="7">
        <f>sum(X12:X24)</f>
        <v>68</v>
      </c>
      <c r="Z24" s="16">
        <f t="shared" si="44"/>
        <v>287.0712401</v>
      </c>
      <c r="AA24" s="7"/>
      <c r="AB24" s="7">
        <f>sum(AA12:AA24)</f>
        <v>55</v>
      </c>
      <c r="AC24" s="16">
        <f t="shared" si="45"/>
        <v>183.3333333</v>
      </c>
      <c r="AE24" s="7">
        <f>sum(AD12:AD24)</f>
        <v>42</v>
      </c>
      <c r="AF24" s="16">
        <f t="shared" si="46"/>
        <v>179.2</v>
      </c>
      <c r="AG24" s="12">
        <v>1.0</v>
      </c>
      <c r="AH24" s="7">
        <f>sum(AG12:AG24)</f>
        <v>59</v>
      </c>
      <c r="AI24" s="16">
        <f t="shared" si="47"/>
        <v>205.9336824</v>
      </c>
      <c r="AK24" s="7">
        <f>sum(AJ12:AJ24)</f>
        <v>4</v>
      </c>
      <c r="AL24" s="16">
        <f t="shared" si="48"/>
        <v>20.10050251</v>
      </c>
      <c r="AN24" s="7">
        <f>sum(AM12:AM24)</f>
        <v>0</v>
      </c>
      <c r="AO24" s="16">
        <f t="shared" si="49"/>
        <v>0</v>
      </c>
      <c r="AP24" s="7">
        <v>0.0</v>
      </c>
      <c r="AQ24" s="7">
        <f>sum(AP12:AP24)</f>
        <v>66</v>
      </c>
      <c r="AR24" s="16">
        <f t="shared" si="50"/>
        <v>66.4652568</v>
      </c>
      <c r="AS24" s="7">
        <v>1.0</v>
      </c>
      <c r="AT24" s="7">
        <f>sum(AS12:AS24)</f>
        <v>75</v>
      </c>
      <c r="AU24" s="16">
        <f t="shared" si="65"/>
        <v>73.71007371</v>
      </c>
      <c r="AV24" s="3">
        <v>1.0</v>
      </c>
      <c r="AW24" s="7">
        <f>sum(AV12:AV24)</f>
        <v>56</v>
      </c>
      <c r="AX24" s="16">
        <f t="shared" si="51"/>
        <v>51.85185185</v>
      </c>
      <c r="AY24" s="1"/>
      <c r="AZ24" s="1"/>
      <c r="BA24" s="1"/>
      <c r="BB24" s="1"/>
      <c r="BC24" s="7">
        <f>sum(AY12:BB24)</f>
        <v>17</v>
      </c>
      <c r="BD24" s="18">
        <f t="shared" si="52"/>
        <v>21.78090967</v>
      </c>
      <c r="BE24" s="7"/>
      <c r="BF24" s="7">
        <f>sum(BE12:BE24)</f>
        <v>5</v>
      </c>
      <c r="BG24" s="16">
        <f t="shared" si="53"/>
        <v>29.6735905</v>
      </c>
      <c r="BH24" s="1"/>
      <c r="BI24" s="1"/>
      <c r="BJ24" s="1"/>
      <c r="BK24" s="1"/>
      <c r="BL24" s="7">
        <f>sum(BH12:BK24)</f>
        <v>57</v>
      </c>
      <c r="BM24" s="16">
        <f t="shared" si="54"/>
        <v>38.63097255</v>
      </c>
      <c r="BN24" s="7">
        <v>0.0</v>
      </c>
      <c r="BO24" s="7">
        <f>sum(BN12:BN24)</f>
        <v>30</v>
      </c>
      <c r="BP24" s="16">
        <f t="shared" si="55"/>
        <v>38.46153846</v>
      </c>
      <c r="BQ24" s="7">
        <v>0.0</v>
      </c>
      <c r="BR24" s="7">
        <f>sum(BQ12:BQ24)</f>
        <v>30</v>
      </c>
      <c r="BS24" s="16">
        <f t="shared" si="56"/>
        <v>29.80625931</v>
      </c>
      <c r="BT24" s="15"/>
      <c r="BU24" s="11">
        <f>sum(BT12:BT24)</f>
        <v>7</v>
      </c>
      <c r="BV24" s="16">
        <f t="shared" si="57"/>
        <v>29.12116485</v>
      </c>
      <c r="BW24" s="7">
        <v>0.0</v>
      </c>
      <c r="BX24" s="7">
        <f>sum(BW12:BW24)</f>
        <v>12</v>
      </c>
      <c r="BY24" s="16">
        <f t="shared" si="58"/>
        <v>17.54385965</v>
      </c>
      <c r="BZ24" s="7">
        <v>0.0</v>
      </c>
      <c r="CA24" s="7">
        <f>sum(BZ12:BZ24)</f>
        <v>4</v>
      </c>
      <c r="CB24" s="16">
        <f t="shared" si="59"/>
        <v>15.09433962</v>
      </c>
      <c r="CC24" s="7"/>
      <c r="CD24" s="7">
        <f>sum(CC12:CC24)</f>
        <v>2</v>
      </c>
      <c r="CE24" s="16">
        <f t="shared" si="60"/>
        <v>7.421150278</v>
      </c>
      <c r="CH24" s="1"/>
      <c r="CI24" s="1"/>
      <c r="CJ24" s="7">
        <f>sum(CF12:CI24)</f>
        <v>15</v>
      </c>
      <c r="CK24" s="16">
        <f t="shared" si="61"/>
        <v>10.57827927</v>
      </c>
      <c r="CL24" s="15"/>
      <c r="CM24" s="7"/>
      <c r="CN24" s="7"/>
      <c r="CO24" s="7"/>
      <c r="CP24" s="11">
        <f>sum(CL12:CO24)</f>
        <v>7</v>
      </c>
      <c r="CQ24" s="16">
        <f t="shared" si="62"/>
        <v>9.383378016</v>
      </c>
      <c r="CR24" s="15"/>
      <c r="CS24" s="11">
        <f>sum(CR12:CR24)</f>
        <v>10</v>
      </c>
      <c r="CT24" s="16">
        <f t="shared" si="63"/>
        <v>7.370554634</v>
      </c>
      <c r="CV24" s="7">
        <f>sum(CU12:CU24)</f>
        <v>0</v>
      </c>
      <c r="CW24" s="16">
        <f t="shared" si="64"/>
        <v>0</v>
      </c>
    </row>
    <row r="25">
      <c r="A25" s="1" t="s">
        <v>64</v>
      </c>
      <c r="C25" s="1"/>
      <c r="D25" s="8">
        <f>D24+D12</f>
        <v>349.4736842</v>
      </c>
      <c r="E25" s="7"/>
      <c r="F25" s="1"/>
      <c r="G25" s="8">
        <f>G24+G12</f>
        <v>416.6666667</v>
      </c>
      <c r="H25" s="7"/>
      <c r="I25" s="1"/>
      <c r="J25" s="8">
        <f>J24+J12</f>
        <v>374.7747748</v>
      </c>
      <c r="K25" s="7"/>
      <c r="L25" s="1"/>
      <c r="M25" s="8">
        <f>M24+M12</f>
        <v>291.0447761</v>
      </c>
      <c r="N25" s="12">
        <v>1.0</v>
      </c>
      <c r="O25" s="1"/>
      <c r="P25" s="8">
        <f>P24+P12</f>
        <v>168.4587814</v>
      </c>
      <c r="Q25" s="1"/>
      <c r="R25" s="1"/>
      <c r="S25" s="1"/>
      <c r="T25" s="8">
        <f>S24/S3*2000+T12</f>
        <v>92.63157895</v>
      </c>
      <c r="U25" s="7"/>
      <c r="V25" s="1"/>
      <c r="W25" s="8">
        <f>W24+W12</f>
        <v>144.7619048</v>
      </c>
      <c r="X25" s="7"/>
      <c r="Y25" s="3" t="s">
        <v>65</v>
      </c>
      <c r="Z25" s="8">
        <f>Y24/Y3*2000+Z12</f>
        <v>595.2506596</v>
      </c>
      <c r="AA25" s="7"/>
      <c r="AB25" s="1"/>
      <c r="AC25" s="8">
        <f>AB24/AB3*2000+AC12</f>
        <v>393.3333333</v>
      </c>
      <c r="AE25" s="1"/>
      <c r="AF25" s="8">
        <f>AF24+AF12</f>
        <v>256</v>
      </c>
      <c r="AG25" s="7"/>
      <c r="AH25" s="1"/>
      <c r="AI25" s="8">
        <f>AI24+AI12</f>
        <v>352.530541</v>
      </c>
      <c r="AK25" s="1"/>
      <c r="AL25" s="8">
        <f>AK24/AK3*2000+AL12</f>
        <v>45.22613065</v>
      </c>
      <c r="AN25" s="1"/>
      <c r="AO25" s="8">
        <f>AN24/AN3*2000+AO12</f>
        <v>16.2601626</v>
      </c>
      <c r="AP25" s="7">
        <v>1.0</v>
      </c>
      <c r="AQ25" s="1"/>
      <c r="AR25" s="8">
        <f>AQ24/AQ3*2000+AR12</f>
        <v>150.0503525</v>
      </c>
      <c r="AS25" s="7">
        <v>0.0</v>
      </c>
      <c r="AT25" s="1"/>
      <c r="AU25" s="8">
        <f>AT24/AT3*2000+AU12</f>
        <v>131.6953317</v>
      </c>
      <c r="AV25" s="1"/>
      <c r="AW25" s="1"/>
      <c r="AX25" s="8">
        <f>AW24/AW3*2000+AX12</f>
        <v>100.9259259</v>
      </c>
      <c r="AY25" s="1"/>
      <c r="AZ25" s="1"/>
      <c r="BA25" s="1"/>
      <c r="BB25" s="1"/>
      <c r="BC25" s="1"/>
      <c r="BD25" s="9">
        <f>BC24/BC3*2000+BD12</f>
        <v>52.53042921</v>
      </c>
      <c r="BE25" s="7"/>
      <c r="BF25" s="1"/>
      <c r="BG25" s="8">
        <f>BF24/BF3*2000+BG12</f>
        <v>77.15133531</v>
      </c>
      <c r="BH25" s="1"/>
      <c r="BI25" s="1"/>
      <c r="BJ25" s="1"/>
      <c r="BK25" s="3">
        <v>1.0</v>
      </c>
      <c r="BL25" s="1"/>
      <c r="BM25" s="8">
        <f>BL24/BL3*2000+BM12</f>
        <v>63.02948153</v>
      </c>
      <c r="BN25" s="7">
        <v>0.0</v>
      </c>
      <c r="BO25" s="1"/>
      <c r="BP25" s="8">
        <f>BO24/BO3*2000+BP12</f>
        <v>76.92307692</v>
      </c>
      <c r="BQ25" s="7">
        <v>0.0</v>
      </c>
      <c r="BR25" s="1"/>
      <c r="BS25" s="8">
        <f>BR24/BR3*2000+BS12</f>
        <v>69.5479384</v>
      </c>
      <c r="BT25" s="15"/>
      <c r="BU25" s="1"/>
      <c r="BV25" s="8">
        <f>BU24/BU3*2000+BV12</f>
        <v>41.60166407</v>
      </c>
      <c r="BW25" s="7">
        <v>0.0</v>
      </c>
      <c r="BX25" s="1"/>
      <c r="BY25" s="8">
        <f>BX24/BX3*2000+BY12</f>
        <v>35.0877193</v>
      </c>
      <c r="BZ25" s="7">
        <v>0.0</v>
      </c>
      <c r="CA25" s="1"/>
      <c r="CB25" s="8">
        <f>CA24/CA3*2000+CB12</f>
        <v>26.41509434</v>
      </c>
      <c r="CC25" s="12" t="s">
        <v>66</v>
      </c>
      <c r="CD25" s="1"/>
      <c r="CE25" s="8">
        <f>CD24/CD3*2000+CE12</f>
        <v>14.84230056</v>
      </c>
      <c r="CH25" s="1"/>
      <c r="CI25" s="1"/>
      <c r="CJ25" s="1"/>
      <c r="CK25" s="8">
        <f>CJ24/CJ3*2000+CK12</f>
        <v>22.56699577</v>
      </c>
      <c r="CL25" s="15"/>
      <c r="CM25" s="1"/>
      <c r="CN25" s="1"/>
      <c r="CO25" s="1"/>
      <c r="CP25" s="1"/>
      <c r="CQ25" s="8">
        <f>CP24/CP3*2000+CQ12</f>
        <v>14.74530831</v>
      </c>
      <c r="CR25" s="15"/>
      <c r="CS25" s="1"/>
      <c r="CT25" s="8">
        <f>CS24/CS3*2000+CT12</f>
        <v>10.31877649</v>
      </c>
      <c r="CV25" s="1"/>
      <c r="CW25" s="8">
        <f>CV24/CV3*2000+CW12</f>
        <v>5.199870003</v>
      </c>
    </row>
    <row r="26">
      <c r="A26" s="24" t="s">
        <v>67</v>
      </c>
      <c r="C26" s="1"/>
      <c r="D26" s="4"/>
      <c r="E26" s="7"/>
      <c r="F26" s="1"/>
      <c r="G26" s="4"/>
      <c r="H26" s="7"/>
      <c r="I26" s="1"/>
      <c r="J26" s="4"/>
      <c r="K26" s="7"/>
      <c r="L26" s="1"/>
      <c r="M26" s="4"/>
      <c r="N26" s="12">
        <v>1.0</v>
      </c>
      <c r="O26" s="1"/>
      <c r="P26" s="4"/>
      <c r="Q26" s="1"/>
      <c r="R26" s="1"/>
      <c r="S26" s="1"/>
      <c r="T26" s="4"/>
      <c r="U26" s="7"/>
      <c r="V26" s="1"/>
      <c r="W26" s="4"/>
      <c r="X26" s="7"/>
      <c r="Y26" s="1"/>
      <c r="Z26" s="4"/>
      <c r="AA26" s="7"/>
      <c r="AB26" s="1"/>
      <c r="AC26" s="4"/>
      <c r="AE26" s="1"/>
      <c r="AF26" s="4"/>
      <c r="AG26" s="7"/>
      <c r="AH26" s="1"/>
      <c r="AI26" s="4"/>
      <c r="AK26" s="1"/>
      <c r="AL26" s="4"/>
      <c r="AN26" s="1"/>
      <c r="AO26" s="4"/>
      <c r="AP26" s="7">
        <v>1.0</v>
      </c>
      <c r="AQ26" s="1"/>
      <c r="AR26" s="4"/>
      <c r="AS26" s="7">
        <v>0.0</v>
      </c>
      <c r="AT26" s="1"/>
      <c r="AU26" s="4"/>
      <c r="AV26" s="1"/>
      <c r="AW26" s="1"/>
      <c r="AX26" s="4"/>
      <c r="AY26" s="1"/>
      <c r="AZ26" s="1"/>
      <c r="BA26" s="1"/>
      <c r="BB26" s="1"/>
      <c r="BC26" s="1"/>
      <c r="BD26" s="5"/>
      <c r="BE26" s="7"/>
      <c r="BF26" s="1"/>
      <c r="BG26" s="4"/>
      <c r="BH26" s="1"/>
      <c r="BI26" s="1"/>
      <c r="BJ26" s="3">
        <v>1.0</v>
      </c>
      <c r="BK26" s="1"/>
      <c r="BL26" s="1"/>
      <c r="BM26" s="4"/>
      <c r="BN26" s="7">
        <v>0.0</v>
      </c>
      <c r="BO26" s="1"/>
      <c r="BP26" s="4"/>
      <c r="BQ26" s="7">
        <v>0.0</v>
      </c>
      <c r="BR26" s="1"/>
      <c r="BS26" s="4"/>
      <c r="BT26" s="15"/>
      <c r="BU26" s="1"/>
      <c r="BV26" s="4"/>
      <c r="BW26" s="7">
        <v>0.0</v>
      </c>
      <c r="BX26" s="1"/>
      <c r="BY26" s="4"/>
      <c r="BZ26" s="7">
        <v>0.0</v>
      </c>
      <c r="CA26" s="1"/>
      <c r="CB26" s="4"/>
      <c r="CC26" s="7"/>
      <c r="CD26" s="1"/>
      <c r="CE26" s="4"/>
      <c r="CH26" s="1"/>
      <c r="CI26" s="1"/>
      <c r="CJ26" s="1"/>
      <c r="CK26" s="4"/>
      <c r="CL26" s="15"/>
      <c r="CM26" s="1"/>
      <c r="CN26" s="1"/>
      <c r="CO26" s="1"/>
      <c r="CP26" s="1"/>
      <c r="CQ26" s="4"/>
      <c r="CR26" s="15"/>
      <c r="CS26" s="1"/>
      <c r="CT26" s="4"/>
      <c r="CV26" s="1"/>
      <c r="CW26" s="4"/>
    </row>
    <row r="27">
      <c r="A27" s="24" t="s">
        <v>68</v>
      </c>
      <c r="C27" s="1"/>
      <c r="D27" s="4"/>
      <c r="E27" s="12">
        <v>2.0</v>
      </c>
      <c r="F27" s="1"/>
      <c r="G27" s="4"/>
      <c r="H27" s="7"/>
      <c r="I27" s="1"/>
      <c r="J27" s="4"/>
      <c r="K27" s="12">
        <v>3.0</v>
      </c>
      <c r="L27" s="1"/>
      <c r="M27" s="4"/>
      <c r="N27" s="12">
        <v>11.0</v>
      </c>
      <c r="O27" s="1"/>
      <c r="P27" s="4"/>
      <c r="Q27" s="1"/>
      <c r="R27" s="1"/>
      <c r="S27" s="1"/>
      <c r="T27" s="4"/>
      <c r="U27" s="12">
        <v>2.0</v>
      </c>
      <c r="V27" s="1"/>
      <c r="W27" s="4"/>
      <c r="X27" s="7"/>
      <c r="Y27" s="1"/>
      <c r="Z27" s="4"/>
      <c r="AA27" s="7"/>
      <c r="AB27" s="1"/>
      <c r="AC27" s="4"/>
      <c r="AE27" s="3">
        <v>1.0</v>
      </c>
      <c r="AF27" s="4"/>
      <c r="AG27" s="7"/>
      <c r="AH27" s="1"/>
      <c r="AI27" s="4"/>
      <c r="AK27" s="1"/>
      <c r="AL27" s="4"/>
      <c r="AN27" s="1"/>
      <c r="AO27" s="4"/>
      <c r="AP27" s="7">
        <v>4.0</v>
      </c>
      <c r="AQ27" s="1"/>
      <c r="AR27" s="4"/>
      <c r="AS27" s="7">
        <v>1.0</v>
      </c>
      <c r="AT27" s="1"/>
      <c r="AU27" s="4"/>
      <c r="AV27" s="1"/>
      <c r="AW27" s="1"/>
      <c r="AX27" s="4"/>
      <c r="AY27" s="1"/>
      <c r="AZ27" s="1"/>
      <c r="BA27" s="1"/>
      <c r="BB27" s="1"/>
      <c r="BC27" s="1"/>
      <c r="BD27" s="5"/>
      <c r="BE27" s="7"/>
      <c r="BF27" s="1"/>
      <c r="BG27" s="4"/>
      <c r="BH27" s="1"/>
      <c r="BI27" s="1"/>
      <c r="BJ27" s="1"/>
      <c r="BK27" s="1"/>
      <c r="BL27" s="1"/>
      <c r="BM27" s="4"/>
      <c r="BN27" s="7">
        <v>0.0</v>
      </c>
      <c r="BO27" s="1"/>
      <c r="BP27" s="4"/>
      <c r="BQ27" s="7">
        <v>0.0</v>
      </c>
      <c r="BR27" s="1"/>
      <c r="BS27" s="4"/>
      <c r="BT27" s="6"/>
      <c r="BU27" s="1"/>
      <c r="BV27" s="4"/>
      <c r="BW27" s="7">
        <v>2.0</v>
      </c>
      <c r="BX27" s="1"/>
      <c r="BY27" s="4"/>
      <c r="BZ27" s="7">
        <v>1.0</v>
      </c>
      <c r="CA27" s="1"/>
      <c r="CB27" s="4"/>
      <c r="CC27" s="7"/>
      <c r="CD27" s="1"/>
      <c r="CE27" s="4"/>
      <c r="CF27" s="2">
        <v>1.0</v>
      </c>
      <c r="CH27" s="3">
        <v>2.0</v>
      </c>
      <c r="CI27" s="1"/>
      <c r="CJ27" s="1"/>
      <c r="CK27" s="4"/>
      <c r="CL27" s="6"/>
      <c r="CM27" s="1"/>
      <c r="CN27" s="1"/>
      <c r="CO27" s="1"/>
      <c r="CP27" s="1"/>
      <c r="CQ27" s="4"/>
      <c r="CR27" s="6"/>
      <c r="CS27" s="1"/>
      <c r="CT27" s="4"/>
      <c r="CV27" s="1"/>
      <c r="CW27" s="4"/>
    </row>
    <row r="28">
      <c r="A28" s="3" t="s">
        <v>69</v>
      </c>
      <c r="B28" s="1"/>
      <c r="C28" s="1"/>
      <c r="D28" s="15"/>
      <c r="E28" s="34"/>
      <c r="F28" s="1"/>
      <c r="G28" s="15"/>
      <c r="H28" s="34"/>
      <c r="I28" s="1"/>
      <c r="J28" s="15"/>
      <c r="K28" s="34"/>
      <c r="L28" s="1"/>
      <c r="M28" s="15"/>
      <c r="N28" s="34"/>
      <c r="O28" s="1"/>
      <c r="P28" s="15"/>
      <c r="Q28" s="1"/>
      <c r="R28" s="1"/>
      <c r="S28" s="1"/>
      <c r="T28" s="15"/>
      <c r="U28" s="34"/>
      <c r="V28" s="1"/>
      <c r="W28" s="15"/>
      <c r="X28" s="1"/>
      <c r="Y28" s="1"/>
      <c r="Z28" s="15"/>
      <c r="AA28" s="1"/>
      <c r="AB28" s="1"/>
      <c r="AC28" s="15"/>
      <c r="AD28" s="3">
        <v>1.0</v>
      </c>
      <c r="AE28" s="1"/>
      <c r="AF28" s="15"/>
      <c r="AG28" s="34"/>
      <c r="AH28" s="1"/>
      <c r="AI28" s="15"/>
      <c r="AK28" s="1"/>
      <c r="AL28" s="15"/>
      <c r="AN28" s="1"/>
      <c r="AO28" s="15"/>
      <c r="AP28" s="1"/>
      <c r="AQ28" s="1"/>
      <c r="AR28" s="15"/>
      <c r="AS28" s="1"/>
      <c r="AT28" s="1"/>
      <c r="AU28" s="15"/>
      <c r="AV28" s="1"/>
      <c r="AW28" s="1"/>
      <c r="AX28" s="15"/>
      <c r="AY28" s="1"/>
      <c r="AZ28" s="1"/>
      <c r="BA28" s="1"/>
      <c r="BB28" s="1"/>
      <c r="BC28" s="1"/>
      <c r="BD28" s="35"/>
      <c r="BE28" s="1"/>
      <c r="BF28" s="1"/>
      <c r="BG28" s="15"/>
      <c r="BH28" s="34"/>
      <c r="BI28" s="34"/>
      <c r="BJ28" s="34"/>
      <c r="BK28" s="34"/>
      <c r="BL28" s="1"/>
      <c r="BM28" s="15"/>
      <c r="BN28" s="1"/>
      <c r="BO28" s="1"/>
      <c r="BP28" s="15"/>
      <c r="BQ28" s="1"/>
      <c r="BR28" s="1"/>
      <c r="BS28" s="15"/>
      <c r="BT28" s="15"/>
      <c r="BU28" s="1"/>
      <c r="BV28" s="15"/>
      <c r="BW28" s="1"/>
      <c r="BX28" s="1"/>
      <c r="BY28" s="15"/>
      <c r="BZ28" s="1"/>
      <c r="CA28" s="1"/>
      <c r="CB28" s="15"/>
      <c r="CC28" s="1"/>
      <c r="CD28" s="1"/>
      <c r="CE28" s="15"/>
      <c r="CF28" s="1"/>
      <c r="CG28" s="1"/>
      <c r="CH28" s="1"/>
      <c r="CI28" s="1"/>
      <c r="CJ28" s="1"/>
      <c r="CK28" s="15"/>
      <c r="CL28" s="15"/>
      <c r="CM28" s="1"/>
      <c r="CN28" s="1"/>
      <c r="CO28" s="1"/>
      <c r="CP28" s="1"/>
      <c r="CQ28" s="15"/>
      <c r="CR28" s="15"/>
      <c r="CS28" s="1"/>
      <c r="CT28" s="15"/>
      <c r="CV28" s="1"/>
      <c r="CW28" s="15"/>
    </row>
    <row r="29">
      <c r="A29" s="3"/>
      <c r="B29" s="1"/>
      <c r="C29" s="1">
        <f>sum(B25:B28)</f>
        <v>0</v>
      </c>
      <c r="D29" s="8">
        <f>C29/C$3*2000</f>
        <v>0</v>
      </c>
      <c r="E29" s="1"/>
      <c r="F29" s="1">
        <f>sum(E25:E28)</f>
        <v>2</v>
      </c>
      <c r="G29" s="8">
        <f>F29/F$3*2000</f>
        <v>6.666666667</v>
      </c>
      <c r="H29" s="1"/>
      <c r="I29" s="1">
        <f>sum(H25:H28)</f>
        <v>0</v>
      </c>
      <c r="J29" s="8">
        <f>I29/I$3*2000</f>
        <v>0</v>
      </c>
      <c r="K29" s="1"/>
      <c r="L29" s="1">
        <f>sum(K25:K28)</f>
        <v>3</v>
      </c>
      <c r="M29" s="8">
        <f>L29/L$3*2000</f>
        <v>11.19402985</v>
      </c>
      <c r="N29" s="1"/>
      <c r="O29" s="1">
        <f>sum(N25:N28)</f>
        <v>13</v>
      </c>
      <c r="P29" s="8">
        <f>O29/O$3*2000</f>
        <v>46.59498208</v>
      </c>
      <c r="Q29" s="1"/>
      <c r="R29" s="1"/>
      <c r="S29" s="1">
        <f>sum(R25:R28)</f>
        <v>0</v>
      </c>
      <c r="T29" s="8">
        <f>S29/S$3*2000</f>
        <v>0</v>
      </c>
      <c r="U29" s="34"/>
      <c r="V29" s="1">
        <f>sum(U25:U28)</f>
        <v>2</v>
      </c>
      <c r="W29" s="8">
        <f>V29/V$3*2000</f>
        <v>7.619047619</v>
      </c>
      <c r="X29" s="34"/>
      <c r="Y29" s="1">
        <f>sum(X25:X28)</f>
        <v>0</v>
      </c>
      <c r="Z29" s="8">
        <f>Y29/Y$3*2000</f>
        <v>0</v>
      </c>
      <c r="AA29" s="34"/>
      <c r="AB29" s="1">
        <f>sum(AA25:AA28)</f>
        <v>0</v>
      </c>
      <c r="AC29" s="8">
        <f>AB29/AB$3*2000</f>
        <v>0</v>
      </c>
      <c r="AD29" s="34"/>
      <c r="AE29" s="1">
        <f>sum(AD25:AD28)</f>
        <v>1</v>
      </c>
      <c r="AF29" s="8">
        <f>AE29/AE$3*2000</f>
        <v>4.266666667</v>
      </c>
      <c r="AG29" s="34"/>
      <c r="AH29" s="1">
        <f>sum(AG25:AG28)</f>
        <v>0</v>
      </c>
      <c r="AI29" s="8">
        <f>AH29/AH$3*2000</f>
        <v>0</v>
      </c>
      <c r="AJ29" s="34"/>
      <c r="AK29" s="1">
        <f>sum(AJ25:AJ28)</f>
        <v>0</v>
      </c>
      <c r="AL29" s="8">
        <f>AK29/AK$3*2000</f>
        <v>0</v>
      </c>
      <c r="AM29" s="34"/>
      <c r="AN29" s="1">
        <f>sum(AM25:AM28)</f>
        <v>0</v>
      </c>
      <c r="AO29" s="8">
        <f>AN29/AN$3*2000</f>
        <v>0</v>
      </c>
      <c r="AP29" s="34"/>
      <c r="AQ29" s="1">
        <f>sum(AP25:AP28)</f>
        <v>6</v>
      </c>
      <c r="AR29" s="8">
        <f>AQ29/AQ$3*2000</f>
        <v>6.042296073</v>
      </c>
      <c r="AS29" s="34"/>
      <c r="AT29" s="1">
        <f>sum(AS25:AS28)</f>
        <v>1</v>
      </c>
      <c r="AU29" s="8">
        <f>AT29/AT$3*2000</f>
        <v>0.9828009828</v>
      </c>
      <c r="AV29" s="34"/>
      <c r="AW29" s="1">
        <f>sum(AV25:AV28)</f>
        <v>0</v>
      </c>
      <c r="AX29" s="8">
        <f>AW29/AW$3*2000</f>
        <v>0</v>
      </c>
      <c r="AY29" s="34"/>
      <c r="AZ29" s="34"/>
      <c r="BA29" s="34"/>
      <c r="BB29" s="34"/>
      <c r="BC29" s="1">
        <f>sum(BB25:BB28)</f>
        <v>0</v>
      </c>
      <c r="BD29" s="9">
        <f>BC29/BC$3*2000</f>
        <v>0</v>
      </c>
      <c r="BE29" s="34"/>
      <c r="BF29" s="1">
        <f>sum(BE25:BE28)</f>
        <v>0</v>
      </c>
      <c r="BG29" s="8">
        <f>BF29/BF$3*2000</f>
        <v>0</v>
      </c>
      <c r="BH29" s="34"/>
      <c r="BI29" s="34"/>
      <c r="BJ29" s="34"/>
      <c r="BK29" s="34"/>
      <c r="BL29" s="3">
        <v>2.0</v>
      </c>
      <c r="BM29" s="8">
        <f>BL29/BL$3*2000</f>
        <v>1.355472721</v>
      </c>
      <c r="BN29" s="1"/>
      <c r="BO29" s="1">
        <f>sum(BN25:BN28)</f>
        <v>0</v>
      </c>
      <c r="BP29" s="8">
        <f>BO29/BO$3*2000</f>
        <v>0</v>
      </c>
      <c r="BQ29" s="1"/>
      <c r="BR29" s="1">
        <f>sum(BQ25:BQ28)</f>
        <v>0</v>
      </c>
      <c r="BS29" s="8">
        <f>BR29/BR$3*2000</f>
        <v>0</v>
      </c>
      <c r="BT29" s="1"/>
      <c r="BU29" s="15">
        <f>sum(BT25:BT28)</f>
        <v>0</v>
      </c>
      <c r="BV29" s="8">
        <f>BU29/BU$3*2000</f>
        <v>0</v>
      </c>
      <c r="BW29" s="1"/>
      <c r="BX29" s="1">
        <f>sum(BW25:BW28)</f>
        <v>2</v>
      </c>
      <c r="BY29" s="8">
        <f>BX29/BX$3*2000</f>
        <v>2.923976608</v>
      </c>
      <c r="BZ29" s="1"/>
      <c r="CA29" s="1">
        <f>sum(BZ25:BZ28)</f>
        <v>1</v>
      </c>
      <c r="CB29" s="8">
        <f>CA29/CA$3*2000</f>
        <v>3.773584906</v>
      </c>
      <c r="CC29" s="1"/>
      <c r="CD29" s="1">
        <f>sum(CC25:CC28)</f>
        <v>0</v>
      </c>
      <c r="CE29" s="8">
        <f>CD29/CD$3*2000</f>
        <v>0</v>
      </c>
      <c r="CF29" s="1"/>
      <c r="CG29" s="1"/>
      <c r="CH29" s="1"/>
      <c r="CI29" s="1"/>
      <c r="CJ29" s="3">
        <v>3.0</v>
      </c>
      <c r="CK29" s="8">
        <f>CJ29/CJ$3*2000</f>
        <v>2.115655853</v>
      </c>
      <c r="CL29" s="15"/>
      <c r="CM29" s="1"/>
      <c r="CN29" s="1"/>
      <c r="CO29" s="1"/>
      <c r="CP29" s="1">
        <f>sum(CO25:CO28)</f>
        <v>0</v>
      </c>
      <c r="CQ29" s="8">
        <f>CP29/CP$3*2000</f>
        <v>0</v>
      </c>
      <c r="CR29" s="15"/>
      <c r="CS29" s="15">
        <f>sum(CR25:CR28)</f>
        <v>0</v>
      </c>
      <c r="CT29" s="8">
        <f>CS29/CS$3*2000</f>
        <v>0</v>
      </c>
      <c r="CV29" s="1">
        <f>sum(CU25:CU28)</f>
        <v>0</v>
      </c>
      <c r="CW29" s="8">
        <f>CV29/CV$3*2000</f>
        <v>0</v>
      </c>
    </row>
    <row r="30">
      <c r="A30" s="36" t="s">
        <v>70</v>
      </c>
      <c r="C30" s="1"/>
      <c r="D30" s="4"/>
      <c r="E30" s="12">
        <v>1.0</v>
      </c>
      <c r="F30" s="1"/>
      <c r="G30" s="4"/>
      <c r="H30" s="12">
        <v>1.0</v>
      </c>
      <c r="I30" s="1"/>
      <c r="J30" s="4"/>
      <c r="K30" s="12">
        <v>2.0</v>
      </c>
      <c r="L30" s="1"/>
      <c r="M30" s="4"/>
      <c r="N30" s="12">
        <v>1.0</v>
      </c>
      <c r="O30" s="1"/>
      <c r="P30" s="4"/>
      <c r="Q30" s="1"/>
      <c r="R30" s="1"/>
      <c r="S30" s="1"/>
      <c r="T30" s="4"/>
      <c r="U30" s="12">
        <v>1.0</v>
      </c>
      <c r="V30" s="1"/>
      <c r="W30" s="4"/>
      <c r="X30" s="7"/>
      <c r="Y30" s="1"/>
      <c r="Z30" s="4"/>
      <c r="AA30" s="7"/>
      <c r="AB30" s="1"/>
      <c r="AC30" s="4"/>
      <c r="AD30" s="2">
        <v>2.0</v>
      </c>
      <c r="AE30" s="1"/>
      <c r="AF30" s="4"/>
      <c r="AG30" s="12">
        <v>6.0</v>
      </c>
      <c r="AH30" s="1"/>
      <c r="AI30" s="4"/>
      <c r="AK30" s="1"/>
      <c r="AL30" s="4"/>
      <c r="AN30" s="1"/>
      <c r="AO30" s="4"/>
      <c r="AP30" s="7">
        <v>1.0</v>
      </c>
      <c r="AQ30" s="1"/>
      <c r="AR30" s="4"/>
      <c r="AS30" s="7">
        <v>0.0</v>
      </c>
      <c r="AT30" s="1"/>
      <c r="AU30" s="4"/>
      <c r="AV30" s="1"/>
      <c r="AW30" s="1"/>
      <c r="AX30" s="4"/>
      <c r="AY30" s="1"/>
      <c r="AZ30" s="1"/>
      <c r="BA30" s="1"/>
      <c r="BB30" s="1"/>
      <c r="BC30" s="1"/>
      <c r="BD30" s="5"/>
      <c r="BE30" s="7"/>
      <c r="BF30" s="1"/>
      <c r="BG30" s="4"/>
      <c r="BH30" s="3">
        <v>1.0</v>
      </c>
      <c r="BI30" s="3">
        <v>0.0</v>
      </c>
      <c r="BJ30" s="3">
        <v>0.0</v>
      </c>
      <c r="BK30" s="3">
        <v>0.0</v>
      </c>
      <c r="BL30" s="1"/>
      <c r="BM30" s="4"/>
      <c r="BN30" s="7">
        <v>1.0</v>
      </c>
      <c r="BO30" s="1"/>
      <c r="BP30" s="4"/>
      <c r="BQ30" s="7">
        <v>3.0</v>
      </c>
      <c r="BR30" s="1"/>
      <c r="BS30" s="4"/>
      <c r="BT30" s="15"/>
      <c r="BU30" s="1"/>
      <c r="BV30" s="4"/>
      <c r="BW30" s="7">
        <v>3.0</v>
      </c>
      <c r="BX30" s="1"/>
      <c r="BY30" s="4"/>
      <c r="BZ30" s="7">
        <v>1.0</v>
      </c>
      <c r="CA30" s="1"/>
      <c r="CB30" s="4"/>
      <c r="CC30" s="7"/>
      <c r="CD30" s="1"/>
      <c r="CE30" s="4"/>
      <c r="CH30" s="1"/>
      <c r="CI30" s="1"/>
      <c r="CJ30" s="1"/>
      <c r="CK30" s="4"/>
      <c r="CL30" s="15"/>
      <c r="CM30" s="3">
        <v>2.0</v>
      </c>
      <c r="CN30" s="3">
        <v>1.0</v>
      </c>
      <c r="CO30" s="1"/>
      <c r="CP30" s="1"/>
      <c r="CQ30" s="4"/>
      <c r="CR30" s="15"/>
      <c r="CS30" s="1"/>
      <c r="CT30" s="4"/>
      <c r="CV30" s="1"/>
      <c r="CW30" s="4"/>
    </row>
    <row r="31">
      <c r="A31" s="37" t="s">
        <v>71</v>
      </c>
      <c r="B31" s="2">
        <v>10.0</v>
      </c>
      <c r="C31" s="1"/>
      <c r="D31" s="4"/>
      <c r="E31" s="12">
        <v>2.0</v>
      </c>
      <c r="F31" s="1"/>
      <c r="G31" s="4"/>
      <c r="H31" s="12">
        <v>1.0</v>
      </c>
      <c r="I31" s="1"/>
      <c r="J31" s="4"/>
      <c r="K31" s="12">
        <v>3.0</v>
      </c>
      <c r="L31" s="1"/>
      <c r="M31" s="4"/>
      <c r="N31" s="12">
        <v>2.0</v>
      </c>
      <c r="O31" s="1"/>
      <c r="P31" s="4"/>
      <c r="Q31" s="1"/>
      <c r="R31" s="1"/>
      <c r="S31" s="1"/>
      <c r="T31" s="4"/>
      <c r="U31" s="12">
        <v>1.0</v>
      </c>
      <c r="V31" s="1"/>
      <c r="W31" s="4"/>
      <c r="X31" s="12">
        <v>3.0</v>
      </c>
      <c r="Y31" s="1"/>
      <c r="Z31" s="4"/>
      <c r="AA31" s="12">
        <v>1.0</v>
      </c>
      <c r="AB31" s="1"/>
      <c r="AC31" s="4"/>
      <c r="AD31" s="2">
        <v>4.0</v>
      </c>
      <c r="AE31" s="1"/>
      <c r="AF31" s="4"/>
      <c r="AG31" s="12">
        <v>1.0</v>
      </c>
      <c r="AH31" s="1"/>
      <c r="AI31" s="4"/>
      <c r="AK31" s="1"/>
      <c r="AL31" s="4"/>
      <c r="AN31" s="1"/>
      <c r="AO31" s="4"/>
      <c r="AP31" s="7">
        <v>3.0</v>
      </c>
      <c r="AQ31" s="1"/>
      <c r="AR31" s="4"/>
      <c r="AS31" s="7">
        <v>4.0</v>
      </c>
      <c r="AT31" s="1"/>
      <c r="AU31" s="4"/>
      <c r="AV31" s="1"/>
      <c r="AW31" s="1"/>
      <c r="AX31" s="4"/>
      <c r="AY31" s="1"/>
      <c r="AZ31" s="1"/>
      <c r="BA31" s="1"/>
      <c r="BB31" s="3">
        <v>1.0</v>
      </c>
      <c r="BC31" s="1"/>
      <c r="BD31" s="5"/>
      <c r="BE31" s="7"/>
      <c r="BF31" s="1"/>
      <c r="BG31" s="4"/>
      <c r="BH31" s="3">
        <v>1.0</v>
      </c>
      <c r="BI31" s="1"/>
      <c r="BJ31" s="1"/>
      <c r="BK31" s="1"/>
      <c r="BL31" s="1"/>
      <c r="BM31" s="4"/>
      <c r="BN31" s="7">
        <v>0.0</v>
      </c>
      <c r="BO31" s="1"/>
      <c r="BP31" s="4"/>
      <c r="BQ31" s="7">
        <v>3.0</v>
      </c>
      <c r="BR31" s="1"/>
      <c r="BS31" s="4"/>
      <c r="BT31" s="6"/>
      <c r="BU31" s="1"/>
      <c r="BV31" s="4"/>
      <c r="BW31" s="7">
        <v>1.0</v>
      </c>
      <c r="BX31" s="1"/>
      <c r="BY31" s="4"/>
      <c r="BZ31" s="7">
        <v>0.0</v>
      </c>
      <c r="CA31" s="1"/>
      <c r="CB31" s="4"/>
      <c r="CC31" s="7"/>
      <c r="CD31" s="1"/>
      <c r="CE31" s="4"/>
      <c r="CH31" s="1"/>
      <c r="CI31" s="1"/>
      <c r="CJ31" s="1"/>
      <c r="CK31" s="4"/>
      <c r="CL31" s="6"/>
      <c r="CM31" s="1"/>
      <c r="CN31" s="1"/>
      <c r="CO31" s="1"/>
      <c r="CP31" s="1"/>
      <c r="CQ31" s="4"/>
      <c r="CR31" s="6"/>
      <c r="CS31" s="1"/>
      <c r="CT31" s="4"/>
      <c r="CV31" s="1"/>
      <c r="CW31" s="4"/>
    </row>
    <row r="32">
      <c r="A32" s="36" t="s">
        <v>72</v>
      </c>
      <c r="B32" s="2">
        <v>8.0</v>
      </c>
      <c r="C32" s="1"/>
      <c r="D32" s="8"/>
      <c r="E32" s="12">
        <v>6.0</v>
      </c>
      <c r="F32" s="1"/>
      <c r="G32" s="8"/>
      <c r="H32" s="12">
        <v>3.0</v>
      </c>
      <c r="I32" s="1"/>
      <c r="J32" s="8"/>
      <c r="K32" s="12">
        <v>9.0</v>
      </c>
      <c r="L32" s="1"/>
      <c r="M32" s="8"/>
      <c r="N32" s="12">
        <v>1.0</v>
      </c>
      <c r="O32" s="1"/>
      <c r="P32" s="8"/>
      <c r="Q32" s="1"/>
      <c r="R32" s="1"/>
      <c r="S32" s="1"/>
      <c r="T32" s="8"/>
      <c r="U32" s="12">
        <v>6.0</v>
      </c>
      <c r="V32" s="1"/>
      <c r="W32" s="8"/>
      <c r="X32" s="12">
        <v>7.0</v>
      </c>
      <c r="Y32" s="1"/>
      <c r="Z32" s="8"/>
      <c r="AA32" s="12">
        <v>4.0</v>
      </c>
      <c r="AB32" s="1"/>
      <c r="AC32" s="8"/>
      <c r="AD32" s="2">
        <v>5.0</v>
      </c>
      <c r="AE32" s="1"/>
      <c r="AF32" s="8"/>
      <c r="AG32" s="12">
        <v>10.0</v>
      </c>
      <c r="AH32" s="1"/>
      <c r="AI32" s="8"/>
      <c r="AJ32" s="2">
        <v>1.0</v>
      </c>
      <c r="AK32" s="1"/>
      <c r="AL32" s="8"/>
      <c r="AN32" s="1"/>
      <c r="AO32" s="8"/>
      <c r="AP32" s="7">
        <v>5.0</v>
      </c>
      <c r="AQ32" s="1"/>
      <c r="AR32" s="8"/>
      <c r="AS32" s="7">
        <v>14.0</v>
      </c>
      <c r="AT32" s="1"/>
      <c r="AU32" s="8"/>
      <c r="AV32" s="12">
        <v>1.0</v>
      </c>
      <c r="AW32" s="1"/>
      <c r="AX32" s="8"/>
      <c r="AY32" s="12"/>
      <c r="AZ32" s="12">
        <v>3.0</v>
      </c>
      <c r="BA32" s="7">
        <v>4.0</v>
      </c>
      <c r="BB32" s="7"/>
      <c r="BC32" s="1"/>
      <c r="BD32" s="9"/>
      <c r="BE32" s="12">
        <v>2.0</v>
      </c>
      <c r="BF32" s="1"/>
      <c r="BG32" s="8"/>
      <c r="BH32" s="3">
        <v>4.0</v>
      </c>
      <c r="BI32" s="3">
        <v>1.0</v>
      </c>
      <c r="BJ32" s="3">
        <v>1.0</v>
      </c>
      <c r="BK32" s="3">
        <v>3.0</v>
      </c>
      <c r="BL32" s="1"/>
      <c r="BM32" s="8"/>
      <c r="BN32" s="7">
        <v>3.0</v>
      </c>
      <c r="BO32" s="1"/>
      <c r="BP32" s="8"/>
      <c r="BQ32" s="7">
        <v>3.0</v>
      </c>
      <c r="BR32" s="1"/>
      <c r="BS32" s="8"/>
      <c r="BT32" s="10">
        <v>3.0</v>
      </c>
      <c r="BU32" s="1"/>
      <c r="BV32" s="8"/>
      <c r="BW32" s="7">
        <v>5.0</v>
      </c>
      <c r="BX32" s="1"/>
      <c r="BY32" s="8"/>
      <c r="BZ32" s="7">
        <v>0.0</v>
      </c>
      <c r="CA32" s="1"/>
      <c r="CB32" s="8"/>
      <c r="CC32" s="12">
        <v>1.0</v>
      </c>
      <c r="CD32" s="1"/>
      <c r="CE32" s="8"/>
      <c r="CH32" s="1"/>
      <c r="CI32" s="1"/>
      <c r="CJ32" s="1"/>
      <c r="CK32" s="8"/>
      <c r="CL32" s="10"/>
      <c r="CM32" s="1"/>
      <c r="CN32" s="1"/>
      <c r="CO32" s="3">
        <v>2.0</v>
      </c>
      <c r="CP32" s="1"/>
      <c r="CQ32" s="8"/>
      <c r="CR32" s="10"/>
      <c r="CS32" s="1"/>
      <c r="CT32" s="8"/>
      <c r="CV32" s="1"/>
      <c r="CW32" s="8"/>
    </row>
    <row r="33">
      <c r="A33" s="37" t="s">
        <v>73</v>
      </c>
      <c r="B33" s="2">
        <v>10.0</v>
      </c>
      <c r="C33" s="1"/>
      <c r="D33" s="4"/>
      <c r="E33" s="12">
        <v>1.0</v>
      </c>
      <c r="F33" s="1"/>
      <c r="G33" s="4"/>
      <c r="H33" s="12">
        <v>2.0</v>
      </c>
      <c r="I33" s="1"/>
      <c r="J33" s="4"/>
      <c r="K33" s="7"/>
      <c r="L33" s="1"/>
      <c r="M33" s="4"/>
      <c r="N33" s="12"/>
      <c r="O33" s="1"/>
      <c r="P33" s="4"/>
      <c r="Q33" s="1"/>
      <c r="R33" s="1"/>
      <c r="S33" s="1"/>
      <c r="T33" s="4"/>
      <c r="U33" s="12">
        <v>3.0</v>
      </c>
      <c r="V33" s="1"/>
      <c r="W33" s="4"/>
      <c r="X33" s="12">
        <v>1.0</v>
      </c>
      <c r="Y33" s="1"/>
      <c r="Z33" s="4"/>
      <c r="AA33" s="12">
        <v>1.0</v>
      </c>
      <c r="AB33" s="1"/>
      <c r="AC33" s="4"/>
      <c r="AD33" s="2">
        <v>1.0</v>
      </c>
      <c r="AE33" s="1"/>
      <c r="AF33" s="4"/>
      <c r="AG33" s="12">
        <v>2.0</v>
      </c>
      <c r="AH33" s="1"/>
      <c r="AI33" s="4"/>
      <c r="AK33" s="1"/>
      <c r="AL33" s="4"/>
      <c r="AM33" s="2">
        <v>1.0</v>
      </c>
      <c r="AN33" s="1"/>
      <c r="AO33" s="4"/>
      <c r="AP33" s="7">
        <v>1.0</v>
      </c>
      <c r="AQ33" s="1"/>
      <c r="AR33" s="4"/>
      <c r="AS33" s="7">
        <v>2.0</v>
      </c>
      <c r="AT33" s="1"/>
      <c r="AU33" s="4"/>
      <c r="AV33" s="1"/>
      <c r="AW33" s="1"/>
      <c r="AX33" s="4"/>
      <c r="AY33" s="1"/>
      <c r="AZ33" s="1"/>
      <c r="BA33" s="1"/>
      <c r="BB33" s="1"/>
      <c r="BC33" s="1"/>
      <c r="BD33" s="5"/>
      <c r="BE33" s="7"/>
      <c r="BF33" s="1"/>
      <c r="BG33" s="4"/>
      <c r="BH33" s="1"/>
      <c r="BI33" s="1"/>
      <c r="BJ33" s="1"/>
      <c r="BK33" s="1"/>
      <c r="BL33" s="1"/>
      <c r="BM33" s="4"/>
      <c r="BN33" s="7">
        <v>0.0</v>
      </c>
      <c r="BO33" s="1"/>
      <c r="BP33" s="4"/>
      <c r="BQ33" s="7">
        <v>2.0</v>
      </c>
      <c r="BR33" s="1"/>
      <c r="BS33" s="4"/>
      <c r="BT33" s="6">
        <v>1.0</v>
      </c>
      <c r="BU33" s="1"/>
      <c r="BV33" s="4"/>
      <c r="BW33" s="7">
        <v>1.0</v>
      </c>
      <c r="BX33" s="1"/>
      <c r="BY33" s="4"/>
      <c r="BZ33" s="7">
        <v>0.0</v>
      </c>
      <c r="CA33" s="1"/>
      <c r="CB33" s="4"/>
      <c r="CC33" s="7"/>
      <c r="CD33" s="1"/>
      <c r="CE33" s="4"/>
      <c r="CH33" s="1"/>
      <c r="CI33" s="1"/>
      <c r="CJ33" s="1"/>
      <c r="CK33" s="4"/>
      <c r="CL33" s="15"/>
      <c r="CM33" s="1"/>
      <c r="CN33" s="1"/>
      <c r="CO33" s="1"/>
      <c r="CP33" s="1"/>
      <c r="CQ33" s="4"/>
      <c r="CR33" s="15"/>
      <c r="CS33" s="1"/>
      <c r="CT33" s="4"/>
      <c r="CV33" s="1"/>
      <c r="CW33" s="4"/>
    </row>
    <row r="34">
      <c r="A34" s="36" t="s">
        <v>74</v>
      </c>
      <c r="B34" s="2">
        <v>14.0</v>
      </c>
      <c r="C34" s="1"/>
      <c r="D34" s="4"/>
      <c r="E34" s="12">
        <v>5.0</v>
      </c>
      <c r="F34" s="1"/>
      <c r="G34" s="4"/>
      <c r="H34" s="12">
        <v>5.0</v>
      </c>
      <c r="I34" s="1"/>
      <c r="J34" s="4"/>
      <c r="K34" s="12">
        <v>13.0</v>
      </c>
      <c r="L34" s="1"/>
      <c r="M34" s="4"/>
      <c r="N34" s="12">
        <v>6.0</v>
      </c>
      <c r="O34" s="1"/>
      <c r="P34" s="4"/>
      <c r="Q34" s="3">
        <v>1.0</v>
      </c>
      <c r="R34" s="3">
        <v>3.0</v>
      </c>
      <c r="S34" s="1"/>
      <c r="T34" s="4"/>
      <c r="U34" s="12">
        <v>4.0</v>
      </c>
      <c r="V34" s="1"/>
      <c r="W34" s="4"/>
      <c r="X34" s="12">
        <v>8.0</v>
      </c>
      <c r="Y34" s="1"/>
      <c r="Z34" s="4"/>
      <c r="AA34" s="12">
        <v>9.0</v>
      </c>
      <c r="AB34" s="1"/>
      <c r="AC34" s="4"/>
      <c r="AD34" s="2">
        <v>8.0</v>
      </c>
      <c r="AE34" s="1"/>
      <c r="AF34" s="4"/>
      <c r="AG34" s="7"/>
      <c r="AH34" s="1"/>
      <c r="AI34" s="4"/>
      <c r="AJ34" s="2">
        <v>3.0</v>
      </c>
      <c r="AK34" s="1"/>
      <c r="AL34" s="4"/>
      <c r="AN34" s="1"/>
      <c r="AO34" s="4"/>
      <c r="AP34" s="7">
        <v>11.0</v>
      </c>
      <c r="AQ34" s="1"/>
      <c r="AR34" s="4"/>
      <c r="AS34" s="7">
        <v>17.0</v>
      </c>
      <c r="AT34" s="1"/>
      <c r="AU34" s="4"/>
      <c r="AV34" s="3">
        <v>16.0</v>
      </c>
      <c r="AW34" s="1"/>
      <c r="AX34" s="4"/>
      <c r="AY34" s="1"/>
      <c r="AZ34" s="1"/>
      <c r="BA34" s="1"/>
      <c r="BB34" s="3">
        <v>1.0</v>
      </c>
      <c r="BC34" s="1"/>
      <c r="BD34" s="5"/>
      <c r="BE34" s="7"/>
      <c r="BF34" s="1"/>
      <c r="BG34" s="4"/>
      <c r="BH34" s="3">
        <v>1.0</v>
      </c>
      <c r="BI34" s="3">
        <v>1.0</v>
      </c>
      <c r="BJ34" s="3">
        <v>2.0</v>
      </c>
      <c r="BK34" s="3">
        <v>0.0</v>
      </c>
      <c r="BL34" s="1"/>
      <c r="BM34" s="4"/>
      <c r="BN34" s="7">
        <v>4.0</v>
      </c>
      <c r="BO34" s="1"/>
      <c r="BP34" s="4"/>
      <c r="BQ34" s="7">
        <v>9.0</v>
      </c>
      <c r="BR34" s="1"/>
      <c r="BS34" s="4"/>
      <c r="BT34" s="6"/>
      <c r="BU34" s="1"/>
      <c r="BV34" s="4"/>
      <c r="BW34" s="7">
        <v>4.0</v>
      </c>
      <c r="BX34" s="1"/>
      <c r="BY34" s="4"/>
      <c r="BZ34" s="7">
        <v>0.0</v>
      </c>
      <c r="CA34" s="1"/>
      <c r="CB34" s="4"/>
      <c r="CC34" s="7"/>
      <c r="CD34" s="1"/>
      <c r="CE34" s="4"/>
      <c r="CH34" s="3">
        <v>1.0</v>
      </c>
      <c r="CI34" s="1"/>
      <c r="CJ34" s="1"/>
      <c r="CK34" s="4"/>
      <c r="CL34" s="6"/>
      <c r="CM34" s="1"/>
      <c r="CN34" s="1"/>
      <c r="CO34" s="1"/>
      <c r="CP34" s="1"/>
      <c r="CQ34" s="4"/>
      <c r="CR34" s="6">
        <v>3.0</v>
      </c>
      <c r="CS34" s="1"/>
      <c r="CT34" s="4"/>
      <c r="CV34" s="1"/>
      <c r="CW34" s="4"/>
    </row>
    <row r="35">
      <c r="A35" s="37" t="s">
        <v>75</v>
      </c>
      <c r="B35" s="2">
        <v>6.0</v>
      </c>
      <c r="C35" s="1"/>
      <c r="D35" s="4"/>
      <c r="E35" s="12">
        <v>1.0</v>
      </c>
      <c r="F35" s="1"/>
      <c r="G35" s="4"/>
      <c r="H35" s="12">
        <v>2.0</v>
      </c>
      <c r="I35" s="1"/>
      <c r="J35" s="4"/>
      <c r="K35" s="12">
        <v>2.0</v>
      </c>
      <c r="L35" s="1"/>
      <c r="M35" s="4"/>
      <c r="N35" s="12">
        <v>2.0</v>
      </c>
      <c r="O35" s="1"/>
      <c r="P35" s="4"/>
      <c r="Q35" s="1"/>
      <c r="R35" s="1"/>
      <c r="S35" s="1"/>
      <c r="T35" s="4"/>
      <c r="U35" s="12">
        <v>2.0</v>
      </c>
      <c r="V35" s="1"/>
      <c r="W35" s="4"/>
      <c r="X35" s="12">
        <v>3.0</v>
      </c>
      <c r="Y35" s="1"/>
      <c r="Z35" s="4"/>
      <c r="AA35" s="12">
        <v>1.0</v>
      </c>
      <c r="AB35" s="1"/>
      <c r="AC35" s="4"/>
      <c r="AD35" s="2">
        <v>3.0</v>
      </c>
      <c r="AE35" s="1"/>
      <c r="AF35" s="4"/>
      <c r="AG35" s="12">
        <v>1.0</v>
      </c>
      <c r="AH35" s="1"/>
      <c r="AI35" s="4"/>
      <c r="AJ35" s="2">
        <v>1.0</v>
      </c>
      <c r="AK35" s="1"/>
      <c r="AL35" s="4"/>
      <c r="AN35" s="1"/>
      <c r="AO35" s="4"/>
      <c r="AP35" s="7">
        <v>1.0</v>
      </c>
      <c r="AQ35" s="1"/>
      <c r="AR35" s="4"/>
      <c r="AS35" s="7">
        <v>5.0</v>
      </c>
      <c r="AT35" s="1"/>
      <c r="AU35" s="4"/>
      <c r="AV35" s="1"/>
      <c r="AW35" s="1"/>
      <c r="AX35" s="4"/>
      <c r="AY35" s="1"/>
      <c r="AZ35" s="1"/>
      <c r="BA35" s="1"/>
      <c r="BB35" s="1"/>
      <c r="BC35" s="1"/>
      <c r="BD35" s="5"/>
      <c r="BE35" s="7"/>
      <c r="BF35" s="1"/>
      <c r="BG35" s="4"/>
      <c r="BH35" s="1"/>
      <c r="BI35" s="3">
        <v>1.0</v>
      </c>
      <c r="BJ35" s="3">
        <v>1.0</v>
      </c>
      <c r="BK35" s="1"/>
      <c r="BL35" s="1"/>
      <c r="BM35" s="4"/>
      <c r="BN35" s="7">
        <v>0.0</v>
      </c>
      <c r="BO35" s="1"/>
      <c r="BP35" s="4"/>
      <c r="BQ35" s="7">
        <v>3.0</v>
      </c>
      <c r="BR35" s="1"/>
      <c r="BS35" s="4"/>
      <c r="BT35" s="6"/>
      <c r="BU35" s="1"/>
      <c r="BV35" s="4"/>
      <c r="BW35" s="7">
        <v>1.0</v>
      </c>
      <c r="BX35" s="1"/>
      <c r="BY35" s="4"/>
      <c r="BZ35" s="7">
        <v>0.0</v>
      </c>
      <c r="CA35" s="1"/>
      <c r="CB35" s="4"/>
      <c r="CC35" s="7"/>
      <c r="CD35" s="1"/>
      <c r="CE35" s="4"/>
      <c r="CH35" s="1"/>
      <c r="CI35" s="1"/>
      <c r="CJ35" s="1"/>
      <c r="CK35" s="4"/>
      <c r="CL35" s="6"/>
      <c r="CM35" s="1"/>
      <c r="CN35" s="1"/>
      <c r="CO35" s="1"/>
      <c r="CP35" s="1"/>
      <c r="CQ35" s="4"/>
      <c r="CR35" s="6"/>
      <c r="CS35" s="1"/>
      <c r="CT35" s="4"/>
      <c r="CV35" s="1"/>
      <c r="CW35" s="4"/>
    </row>
    <row r="36">
      <c r="A36" s="36" t="s">
        <v>76</v>
      </c>
      <c r="B36" s="2">
        <v>16.0</v>
      </c>
      <c r="C36" s="1"/>
      <c r="D36" s="8"/>
      <c r="E36" s="12">
        <v>17.0</v>
      </c>
      <c r="F36" s="1"/>
      <c r="G36" s="8"/>
      <c r="H36" s="12">
        <v>6.0</v>
      </c>
      <c r="I36" s="1"/>
      <c r="J36" s="8"/>
      <c r="K36" s="12">
        <v>18.0</v>
      </c>
      <c r="L36" s="1"/>
      <c r="M36" s="8"/>
      <c r="N36" s="12">
        <v>12.0</v>
      </c>
      <c r="O36" s="1"/>
      <c r="P36" s="8"/>
      <c r="Q36" s="3">
        <v>9.0</v>
      </c>
      <c r="R36" s="3">
        <v>13.0</v>
      </c>
      <c r="S36" s="1"/>
      <c r="T36" s="8"/>
      <c r="U36" s="12">
        <v>5.0</v>
      </c>
      <c r="V36" s="1"/>
      <c r="W36" s="8"/>
      <c r="X36" s="12">
        <v>16.0</v>
      </c>
      <c r="Y36" s="1"/>
      <c r="Z36" s="8"/>
      <c r="AA36" s="12">
        <v>17.0</v>
      </c>
      <c r="AB36" s="1"/>
      <c r="AC36" s="8"/>
      <c r="AD36" s="2">
        <v>18.0</v>
      </c>
      <c r="AE36" s="1"/>
      <c r="AF36" s="8"/>
      <c r="AG36" s="12">
        <v>15.0</v>
      </c>
      <c r="AH36" s="1"/>
      <c r="AI36" s="8"/>
      <c r="AJ36" s="2">
        <v>8.0</v>
      </c>
      <c r="AK36" s="1"/>
      <c r="AL36" s="8"/>
      <c r="AM36" s="2">
        <v>6.0</v>
      </c>
      <c r="AN36" s="1"/>
      <c r="AO36" s="8"/>
      <c r="AP36" s="7">
        <v>87.0</v>
      </c>
      <c r="AQ36" s="1"/>
      <c r="AR36" s="8"/>
      <c r="AS36" s="7">
        <v>63.0</v>
      </c>
      <c r="AT36" s="1"/>
      <c r="AU36" s="8"/>
      <c r="AV36" s="12">
        <v>110.0</v>
      </c>
      <c r="AW36" s="1"/>
      <c r="AX36" s="8"/>
      <c r="AY36" s="12"/>
      <c r="AZ36" s="12">
        <v>69.0</v>
      </c>
      <c r="BA36" s="7">
        <v>37.0</v>
      </c>
      <c r="BB36" s="12">
        <v>29.0</v>
      </c>
      <c r="BC36" s="1"/>
      <c r="BD36" s="9"/>
      <c r="BE36" s="12">
        <v>15.0</v>
      </c>
      <c r="BF36" s="1"/>
      <c r="BG36" s="8"/>
      <c r="BH36" s="3">
        <v>40.0</v>
      </c>
      <c r="BI36" s="3">
        <v>56.0</v>
      </c>
      <c r="BJ36" s="3">
        <v>36.0</v>
      </c>
      <c r="BK36" s="3">
        <v>55.0</v>
      </c>
      <c r="BL36" s="1"/>
      <c r="BM36" s="8"/>
      <c r="BN36" s="7">
        <v>44.0</v>
      </c>
      <c r="BO36" s="1"/>
      <c r="BP36" s="8"/>
      <c r="BQ36" s="7">
        <v>48.0</v>
      </c>
      <c r="BR36" s="1"/>
      <c r="BS36" s="8"/>
      <c r="BT36" s="10">
        <v>21.0</v>
      </c>
      <c r="BU36" s="1"/>
      <c r="BV36" s="8"/>
      <c r="BW36" s="7">
        <v>37.0</v>
      </c>
      <c r="BX36" s="1"/>
      <c r="BY36" s="8"/>
      <c r="BZ36" s="7">
        <v>13.0</v>
      </c>
      <c r="CA36" s="1"/>
      <c r="CB36" s="8"/>
      <c r="CC36" s="12">
        <v>20.0</v>
      </c>
      <c r="CD36" s="1"/>
      <c r="CE36" s="8"/>
      <c r="CF36" s="2">
        <v>21.0</v>
      </c>
      <c r="CG36" s="2">
        <v>32.0</v>
      </c>
      <c r="CH36" s="3">
        <v>23.0</v>
      </c>
      <c r="CI36" s="3">
        <v>22.0</v>
      </c>
      <c r="CJ36" s="1"/>
      <c r="CK36" s="8"/>
      <c r="CL36" s="10">
        <v>5.0</v>
      </c>
      <c r="CM36" s="3">
        <v>6.0</v>
      </c>
      <c r="CN36" s="3">
        <v>6.0</v>
      </c>
      <c r="CO36" s="3">
        <v>4.0</v>
      </c>
      <c r="CP36" s="1"/>
      <c r="CQ36" s="8"/>
      <c r="CR36" s="10">
        <v>42.0</v>
      </c>
      <c r="CS36" s="1"/>
      <c r="CT36" s="8"/>
      <c r="CU36" s="2">
        <v>19.0</v>
      </c>
      <c r="CV36" s="1"/>
      <c r="CW36" s="8"/>
    </row>
    <row r="37">
      <c r="A37" s="37" t="s">
        <v>77</v>
      </c>
      <c r="B37" s="2">
        <v>16.0</v>
      </c>
      <c r="C37" s="1"/>
      <c r="D37" s="4"/>
      <c r="E37" s="12">
        <v>5.0</v>
      </c>
      <c r="F37" s="1"/>
      <c r="G37" s="4"/>
      <c r="H37" s="12">
        <v>1.0</v>
      </c>
      <c r="I37" s="1"/>
      <c r="J37" s="4"/>
      <c r="K37" s="12">
        <v>1.0</v>
      </c>
      <c r="L37" s="1"/>
      <c r="M37" s="4"/>
      <c r="N37" s="12"/>
      <c r="O37" s="1"/>
      <c r="P37" s="4"/>
      <c r="Q37" s="1"/>
      <c r="R37" s="1"/>
      <c r="S37" s="1"/>
      <c r="T37" s="4"/>
      <c r="U37" s="12">
        <v>1.0</v>
      </c>
      <c r="V37" s="1"/>
      <c r="W37" s="4"/>
      <c r="X37" s="12">
        <v>5.0</v>
      </c>
      <c r="Y37" s="1"/>
      <c r="Z37" s="4"/>
      <c r="AA37" s="12">
        <v>1.0</v>
      </c>
      <c r="AB37" s="1"/>
      <c r="AC37" s="4"/>
      <c r="AD37" s="2">
        <v>2.0</v>
      </c>
      <c r="AE37" s="1"/>
      <c r="AF37" s="4"/>
      <c r="AG37" s="7"/>
      <c r="AH37" s="1"/>
      <c r="AI37" s="4"/>
      <c r="AJ37" s="2">
        <v>1.0</v>
      </c>
      <c r="AK37" s="1"/>
      <c r="AL37" s="4"/>
      <c r="AN37" s="1"/>
      <c r="AO37" s="4"/>
      <c r="AP37" s="7">
        <v>0.0</v>
      </c>
      <c r="AQ37" s="1"/>
      <c r="AR37" s="4"/>
      <c r="AS37" s="7">
        <v>2.0</v>
      </c>
      <c r="AT37" s="1"/>
      <c r="AU37" s="4"/>
      <c r="AV37" s="1"/>
      <c r="AW37" s="1"/>
      <c r="AX37" s="4"/>
      <c r="AY37" s="1"/>
      <c r="AZ37" s="1"/>
      <c r="BA37" s="1"/>
      <c r="BB37" s="3">
        <v>1.0</v>
      </c>
      <c r="BC37" s="1"/>
      <c r="BD37" s="5"/>
      <c r="BE37" s="7"/>
      <c r="BF37" s="1"/>
      <c r="BG37" s="4"/>
      <c r="BH37" s="1"/>
      <c r="BI37" s="1"/>
      <c r="BJ37" s="1"/>
      <c r="BK37" s="1"/>
      <c r="BL37" s="1"/>
      <c r="BM37" s="4"/>
      <c r="BN37" s="7">
        <v>1.0</v>
      </c>
      <c r="BO37" s="1"/>
      <c r="BP37" s="4"/>
      <c r="BQ37" s="7">
        <v>0.0</v>
      </c>
      <c r="BR37" s="1"/>
      <c r="BS37" s="4"/>
      <c r="BT37" s="15"/>
      <c r="BU37" s="1"/>
      <c r="BV37" s="4"/>
      <c r="BW37" s="7">
        <v>1.0</v>
      </c>
      <c r="BX37" s="1"/>
      <c r="BY37" s="4"/>
      <c r="BZ37" s="7">
        <v>0.0</v>
      </c>
      <c r="CA37" s="1"/>
      <c r="CB37" s="4"/>
      <c r="CC37" s="7"/>
      <c r="CD37" s="1"/>
      <c r="CE37" s="4"/>
      <c r="CH37" s="1"/>
      <c r="CI37" s="1"/>
      <c r="CJ37" s="1"/>
      <c r="CK37" s="4"/>
      <c r="CL37" s="15"/>
      <c r="CM37" s="1"/>
      <c r="CN37" s="1"/>
      <c r="CO37" s="3">
        <v>1.0</v>
      </c>
      <c r="CP37" s="1"/>
      <c r="CQ37" s="4"/>
      <c r="CR37" s="15"/>
      <c r="CS37" s="1"/>
      <c r="CT37" s="4"/>
      <c r="CV37" s="1"/>
      <c r="CW37" s="4"/>
    </row>
    <row r="38">
      <c r="A38" s="38" t="s">
        <v>78</v>
      </c>
      <c r="B38" s="2">
        <v>4.0</v>
      </c>
      <c r="E38" s="2">
        <v>2.0</v>
      </c>
      <c r="H38" s="2"/>
      <c r="K38" s="2">
        <v>2.0</v>
      </c>
      <c r="N38" s="2">
        <v>1.0</v>
      </c>
      <c r="U38" s="2"/>
      <c r="X38" s="2">
        <v>9.0</v>
      </c>
      <c r="AA38" s="2">
        <v>1.0</v>
      </c>
      <c r="AD38" s="2">
        <v>3.0</v>
      </c>
      <c r="AG38" s="2">
        <v>1.0</v>
      </c>
      <c r="AP38" s="2">
        <v>0.0</v>
      </c>
      <c r="AS38" s="2">
        <v>1.0</v>
      </c>
      <c r="AV38" s="2">
        <v>9.0</v>
      </c>
      <c r="BB38" s="2">
        <v>2.0</v>
      </c>
      <c r="BD38" s="39"/>
      <c r="BK38" s="2">
        <v>1.0</v>
      </c>
      <c r="BN38" s="2">
        <v>3.0</v>
      </c>
      <c r="BQ38" s="2">
        <v>4.0</v>
      </c>
      <c r="BW38" s="2">
        <v>1.0</v>
      </c>
      <c r="BZ38" s="2">
        <v>1.0</v>
      </c>
      <c r="CO38" s="2">
        <v>1.0</v>
      </c>
      <c r="CR38" s="2">
        <v>1.0</v>
      </c>
    </row>
    <row r="39">
      <c r="A39" s="36" t="s">
        <v>79</v>
      </c>
      <c r="B39" s="2">
        <v>12.0</v>
      </c>
      <c r="C39" s="1"/>
      <c r="D39" s="8"/>
      <c r="E39" s="12">
        <v>8.0</v>
      </c>
      <c r="F39" s="1"/>
      <c r="G39" s="8"/>
      <c r="H39" s="12">
        <v>2.0</v>
      </c>
      <c r="I39" s="1"/>
      <c r="J39" s="8"/>
      <c r="K39" s="12">
        <v>14.0</v>
      </c>
      <c r="L39" s="1"/>
      <c r="M39" s="8"/>
      <c r="N39" s="12">
        <v>5.0</v>
      </c>
      <c r="O39" s="1"/>
      <c r="P39" s="8"/>
      <c r="Q39" s="3">
        <v>3.0</v>
      </c>
      <c r="R39" s="3">
        <v>3.0</v>
      </c>
      <c r="S39" s="1"/>
      <c r="T39" s="8"/>
      <c r="U39" s="12">
        <v>3.0</v>
      </c>
      <c r="V39" s="1"/>
      <c r="W39" s="8"/>
      <c r="X39" s="12">
        <v>3.0</v>
      </c>
      <c r="Y39" s="1"/>
      <c r="Z39" s="8"/>
      <c r="AA39" s="12">
        <v>11.0</v>
      </c>
      <c r="AB39" s="1"/>
      <c r="AC39" s="8"/>
      <c r="AD39" s="2">
        <v>5.0</v>
      </c>
      <c r="AE39" s="1"/>
      <c r="AF39" s="8"/>
      <c r="AG39" s="12">
        <v>10.0</v>
      </c>
      <c r="AH39" s="1"/>
      <c r="AI39" s="8"/>
      <c r="AJ39" s="2">
        <v>3.0</v>
      </c>
      <c r="AK39" s="1"/>
      <c r="AL39" s="8"/>
      <c r="AM39" s="2">
        <v>1.0</v>
      </c>
      <c r="AN39" s="1"/>
      <c r="AO39" s="8"/>
      <c r="AP39" s="7">
        <v>20.0</v>
      </c>
      <c r="AQ39" s="1"/>
      <c r="AR39" s="8"/>
      <c r="AS39" s="7">
        <v>11.0</v>
      </c>
      <c r="AT39" s="1"/>
      <c r="AU39" s="8"/>
      <c r="AV39" s="12">
        <v>22.0</v>
      </c>
      <c r="AW39" s="1"/>
      <c r="AX39" s="8"/>
      <c r="AY39" s="12"/>
      <c r="AZ39" s="12">
        <v>1.0</v>
      </c>
      <c r="BA39" s="7">
        <v>3.0</v>
      </c>
      <c r="BB39" s="12">
        <v>5.0</v>
      </c>
      <c r="BC39" s="1"/>
      <c r="BD39" s="9"/>
      <c r="BE39" s="12">
        <v>8.0</v>
      </c>
      <c r="BF39" s="1"/>
      <c r="BG39" s="8"/>
      <c r="BH39" s="3">
        <v>5.0</v>
      </c>
      <c r="BI39" s="3">
        <v>1.0</v>
      </c>
      <c r="BJ39" s="3">
        <v>4.0</v>
      </c>
      <c r="BK39" s="3">
        <v>1.0</v>
      </c>
      <c r="BL39" s="1"/>
      <c r="BM39" s="8"/>
      <c r="BN39" s="7">
        <v>10.0</v>
      </c>
      <c r="BO39" s="1"/>
      <c r="BP39" s="8"/>
      <c r="BQ39" s="7">
        <v>10.0</v>
      </c>
      <c r="BR39" s="1"/>
      <c r="BS39" s="8"/>
      <c r="BT39" s="2">
        <v>2.0</v>
      </c>
      <c r="BU39" s="1"/>
      <c r="BV39" s="8"/>
      <c r="BW39" s="7">
        <v>0.0</v>
      </c>
      <c r="BX39" s="1"/>
      <c r="BY39" s="8"/>
      <c r="BZ39" s="7">
        <v>0.0</v>
      </c>
      <c r="CA39" s="1"/>
      <c r="CB39" s="8"/>
      <c r="CC39" s="7"/>
      <c r="CD39" s="1"/>
      <c r="CE39" s="8"/>
      <c r="CH39" s="1"/>
      <c r="CI39" s="1"/>
      <c r="CJ39" s="1"/>
      <c r="CK39" s="8"/>
      <c r="CL39" s="2"/>
      <c r="CM39" s="1"/>
      <c r="CN39" s="3">
        <v>1.0</v>
      </c>
      <c r="CO39" s="3">
        <v>2.0</v>
      </c>
      <c r="CP39" s="1"/>
      <c r="CQ39" s="8"/>
      <c r="CR39" s="2">
        <v>4.0</v>
      </c>
      <c r="CS39" s="1"/>
      <c r="CT39" s="8"/>
      <c r="CV39" s="1"/>
      <c r="CW39" s="8"/>
    </row>
    <row r="40">
      <c r="A40" s="37" t="s">
        <v>80</v>
      </c>
      <c r="C40" s="1"/>
      <c r="D40" s="4"/>
      <c r="E40" s="12">
        <v>2.0</v>
      </c>
      <c r="F40" s="1"/>
      <c r="G40" s="4"/>
      <c r="H40" s="12">
        <v>3.0</v>
      </c>
      <c r="I40" s="1"/>
      <c r="J40" s="4"/>
      <c r="K40" s="12">
        <v>1.0</v>
      </c>
      <c r="L40" s="1"/>
      <c r="M40" s="4"/>
      <c r="N40" s="12">
        <v>1.0</v>
      </c>
      <c r="O40" s="1"/>
      <c r="P40" s="4"/>
      <c r="Q40" s="1"/>
      <c r="R40" s="1"/>
      <c r="S40" s="1"/>
      <c r="T40" s="4"/>
      <c r="U40" s="12">
        <v>1.0</v>
      </c>
      <c r="V40" s="1"/>
      <c r="W40" s="4"/>
      <c r="X40" s="12">
        <v>1.0</v>
      </c>
      <c r="Y40" s="1"/>
      <c r="Z40" s="4"/>
      <c r="AA40" s="12">
        <v>5.0</v>
      </c>
      <c r="AB40" s="1"/>
      <c r="AC40" s="4"/>
      <c r="AD40" s="2">
        <v>10.0</v>
      </c>
      <c r="AE40" s="1"/>
      <c r="AF40" s="4"/>
      <c r="AG40" s="7"/>
      <c r="AH40" s="1"/>
      <c r="AI40" s="4"/>
      <c r="AJ40" s="2">
        <v>1.0</v>
      </c>
      <c r="AK40" s="1"/>
      <c r="AL40" s="4"/>
      <c r="AN40" s="1"/>
      <c r="AO40" s="4"/>
      <c r="AP40" s="7">
        <v>1.0</v>
      </c>
      <c r="AQ40" s="1"/>
      <c r="AR40" s="4"/>
      <c r="AS40" s="7">
        <v>1.0</v>
      </c>
      <c r="AT40" s="1"/>
      <c r="AU40" s="4"/>
      <c r="AV40" s="3">
        <v>3.0</v>
      </c>
      <c r="AW40" s="1"/>
      <c r="AX40" s="4"/>
      <c r="AY40" s="1"/>
      <c r="AZ40" s="1"/>
      <c r="BA40" s="1"/>
      <c r="BB40" s="1"/>
      <c r="BC40" s="1"/>
      <c r="BD40" s="5"/>
      <c r="BE40" s="7"/>
      <c r="BF40" s="1"/>
      <c r="BG40" s="4"/>
      <c r="BH40" s="1"/>
      <c r="BI40" s="1"/>
      <c r="BJ40" s="3">
        <v>1.0</v>
      </c>
      <c r="BK40" s="1"/>
      <c r="BL40" s="1"/>
      <c r="BM40" s="4"/>
      <c r="BN40" s="7">
        <v>4.0</v>
      </c>
      <c r="BO40" s="1"/>
      <c r="BP40" s="4"/>
      <c r="BQ40" s="7">
        <v>0.0</v>
      </c>
      <c r="BR40" s="1"/>
      <c r="BS40" s="4"/>
      <c r="BT40" s="6">
        <v>1.0</v>
      </c>
      <c r="BU40" s="1"/>
      <c r="BV40" s="4"/>
      <c r="BW40" s="7">
        <v>3.0</v>
      </c>
      <c r="BX40" s="1"/>
      <c r="BY40" s="4"/>
      <c r="BZ40" s="7">
        <v>0.0</v>
      </c>
      <c r="CA40" s="1"/>
      <c r="CB40" s="4"/>
      <c r="CC40" s="7"/>
      <c r="CD40" s="1"/>
      <c r="CE40" s="4"/>
      <c r="CH40" s="1"/>
      <c r="CI40" s="1"/>
      <c r="CJ40" s="1"/>
      <c r="CK40" s="4"/>
      <c r="CL40" s="15"/>
      <c r="CM40" s="1"/>
      <c r="CN40" s="1"/>
      <c r="CO40" s="1"/>
      <c r="CP40" s="1"/>
      <c r="CQ40" s="4"/>
      <c r="CR40" s="6">
        <v>2.0</v>
      </c>
      <c r="CS40" s="1"/>
      <c r="CT40" s="4"/>
      <c r="CU40" s="2">
        <v>1.0</v>
      </c>
      <c r="CV40" s="1"/>
      <c r="CW40" s="4"/>
    </row>
    <row r="41">
      <c r="A41" s="36" t="s">
        <v>81</v>
      </c>
      <c r="B41" s="2">
        <v>7.0</v>
      </c>
      <c r="C41" s="1"/>
      <c r="D41" s="4"/>
      <c r="E41" s="12">
        <v>1.0</v>
      </c>
      <c r="F41" s="1"/>
      <c r="G41" s="4"/>
      <c r="H41" s="12">
        <v>1.0</v>
      </c>
      <c r="I41" s="1"/>
      <c r="J41" s="4"/>
      <c r="K41" s="12">
        <v>5.0</v>
      </c>
      <c r="L41" s="1"/>
      <c r="M41" s="4"/>
      <c r="N41" s="12"/>
      <c r="O41" s="1"/>
      <c r="P41" s="4"/>
      <c r="Q41" s="1"/>
      <c r="R41" s="1"/>
      <c r="S41" s="1"/>
      <c r="T41" s="4"/>
      <c r="U41" s="12"/>
      <c r="V41" s="1"/>
      <c r="W41" s="4"/>
      <c r="X41" s="12">
        <v>1.0</v>
      </c>
      <c r="Y41" s="1"/>
      <c r="Z41" s="4"/>
      <c r="AA41" s="12">
        <v>8.0</v>
      </c>
      <c r="AB41" s="1"/>
      <c r="AC41" s="4"/>
      <c r="AD41" s="2">
        <v>3.0</v>
      </c>
      <c r="AE41" s="1"/>
      <c r="AF41" s="4"/>
      <c r="AG41" s="12">
        <v>1.0</v>
      </c>
      <c r="AH41" s="1"/>
      <c r="AI41" s="4"/>
      <c r="AK41" s="1"/>
      <c r="AL41" s="4"/>
      <c r="AN41" s="1"/>
      <c r="AO41" s="4"/>
      <c r="AP41" s="7">
        <v>3.0</v>
      </c>
      <c r="AQ41" s="1"/>
      <c r="AR41" s="4"/>
      <c r="AS41" s="7">
        <v>1.0</v>
      </c>
      <c r="AT41" s="1"/>
      <c r="AU41" s="4"/>
      <c r="AV41" s="1"/>
      <c r="AW41" s="1"/>
      <c r="AX41" s="4"/>
      <c r="AY41" s="1"/>
      <c r="AZ41" s="1"/>
      <c r="BA41" s="1"/>
      <c r="BB41" s="1"/>
      <c r="BC41" s="1"/>
      <c r="BD41" s="5"/>
      <c r="BE41" s="12">
        <v>3.0</v>
      </c>
      <c r="BF41" s="1"/>
      <c r="BG41" s="4"/>
      <c r="BH41" s="3">
        <v>2.0</v>
      </c>
      <c r="BI41" s="3">
        <v>0.0</v>
      </c>
      <c r="BJ41" s="3">
        <v>2.0</v>
      </c>
      <c r="BK41" s="3">
        <v>0.0</v>
      </c>
      <c r="BL41" s="1"/>
      <c r="BM41" s="4"/>
      <c r="BN41" s="7">
        <v>3.0</v>
      </c>
      <c r="BO41" s="1"/>
      <c r="BP41" s="4"/>
      <c r="BQ41" s="7">
        <v>2.0</v>
      </c>
      <c r="BR41" s="1"/>
      <c r="BS41" s="4"/>
      <c r="BT41" s="15"/>
      <c r="BU41" s="1"/>
      <c r="BV41" s="4"/>
      <c r="BW41" s="7">
        <v>3.0</v>
      </c>
      <c r="BX41" s="1"/>
      <c r="BY41" s="4"/>
      <c r="BZ41" s="7">
        <v>1.0</v>
      </c>
      <c r="CA41" s="1"/>
      <c r="CB41" s="4"/>
      <c r="CC41" s="12">
        <v>1.0</v>
      </c>
      <c r="CD41" s="1"/>
      <c r="CE41" s="4"/>
      <c r="CH41" s="3">
        <v>1.0</v>
      </c>
      <c r="CI41" s="1"/>
      <c r="CJ41" s="1"/>
      <c r="CK41" s="4"/>
      <c r="CL41" s="15"/>
      <c r="CM41" s="1"/>
      <c r="CN41" s="1"/>
      <c r="CO41" s="1"/>
      <c r="CP41" s="1"/>
      <c r="CQ41" s="4"/>
      <c r="CR41" s="6">
        <v>2.0</v>
      </c>
      <c r="CS41" s="1"/>
      <c r="CT41" s="4"/>
      <c r="CV41" s="1"/>
      <c r="CW41" s="4"/>
    </row>
    <row r="42">
      <c r="A42" s="36" t="s">
        <v>82</v>
      </c>
      <c r="B42" s="2">
        <v>6.0</v>
      </c>
      <c r="C42" s="1"/>
      <c r="D42" s="4"/>
      <c r="E42" s="12">
        <v>1.0</v>
      </c>
      <c r="F42" s="1"/>
      <c r="G42" s="4"/>
      <c r="H42" s="12">
        <v>2.0</v>
      </c>
      <c r="I42" s="1"/>
      <c r="J42" s="4"/>
      <c r="K42" s="12">
        <v>2.0</v>
      </c>
      <c r="L42" s="1"/>
      <c r="M42" s="4"/>
      <c r="N42" s="12">
        <v>2.0</v>
      </c>
      <c r="O42" s="1"/>
      <c r="P42" s="4"/>
      <c r="Q42" s="3">
        <v>2.0</v>
      </c>
      <c r="R42" s="3"/>
      <c r="S42" s="1"/>
      <c r="T42" s="4"/>
      <c r="U42" s="12">
        <v>4.0</v>
      </c>
      <c r="V42" s="1"/>
      <c r="W42" s="4"/>
      <c r="X42" s="12">
        <v>4.0</v>
      </c>
      <c r="Y42" s="1"/>
      <c r="Z42" s="4"/>
      <c r="AA42" s="12">
        <v>5.0</v>
      </c>
      <c r="AB42" s="1"/>
      <c r="AC42" s="4"/>
      <c r="AE42" s="1"/>
      <c r="AF42" s="4"/>
      <c r="AG42" s="12">
        <v>5.0</v>
      </c>
      <c r="AH42" s="1"/>
      <c r="AI42" s="4"/>
      <c r="AK42" s="1"/>
      <c r="AL42" s="4"/>
      <c r="AN42" s="1"/>
      <c r="AO42" s="4"/>
      <c r="AP42" s="7">
        <v>6.0</v>
      </c>
      <c r="AQ42" s="1"/>
      <c r="AR42" s="4"/>
      <c r="AS42" s="7">
        <v>6.0</v>
      </c>
      <c r="AT42" s="1"/>
      <c r="AU42" s="4"/>
      <c r="AV42" s="3">
        <v>10.0</v>
      </c>
      <c r="AW42" s="1"/>
      <c r="AX42" s="4"/>
      <c r="AY42" s="1"/>
      <c r="AZ42" s="1"/>
      <c r="BA42" s="1"/>
      <c r="BB42" s="3">
        <v>2.0</v>
      </c>
      <c r="BC42" s="1"/>
      <c r="BD42" s="5"/>
      <c r="BE42" s="7"/>
      <c r="BF42" s="1"/>
      <c r="BG42" s="4"/>
      <c r="BH42" s="3">
        <v>1.0</v>
      </c>
      <c r="BI42" s="3">
        <v>1.0</v>
      </c>
      <c r="BJ42" s="3">
        <v>1.0</v>
      </c>
      <c r="BK42" s="3">
        <v>0.0</v>
      </c>
      <c r="BL42" s="1"/>
      <c r="BM42" s="4"/>
      <c r="BN42" s="7">
        <v>4.0</v>
      </c>
      <c r="BO42" s="1"/>
      <c r="BP42" s="4"/>
      <c r="BQ42" s="7">
        <v>0.0</v>
      </c>
      <c r="BR42" s="1"/>
      <c r="BS42" s="4"/>
      <c r="BT42" s="15"/>
      <c r="BU42" s="1"/>
      <c r="BV42" s="4"/>
      <c r="BW42" s="7">
        <v>0.0</v>
      </c>
      <c r="BX42" s="1"/>
      <c r="BY42" s="4"/>
      <c r="BZ42" s="7">
        <v>0.0</v>
      </c>
      <c r="CA42" s="1"/>
      <c r="CB42" s="4"/>
      <c r="CC42" s="12">
        <v>1.0</v>
      </c>
      <c r="CD42" s="1"/>
      <c r="CE42" s="4"/>
      <c r="CF42" s="2">
        <v>1.0</v>
      </c>
      <c r="CH42" s="3">
        <v>2.0</v>
      </c>
      <c r="CI42" s="1"/>
      <c r="CJ42" s="1"/>
      <c r="CK42" s="4"/>
      <c r="CL42" s="15"/>
      <c r="CM42" s="1"/>
      <c r="CN42" s="1"/>
      <c r="CO42" s="3">
        <v>1.0</v>
      </c>
      <c r="CP42" s="1"/>
      <c r="CQ42" s="4"/>
      <c r="CR42" s="6">
        <v>1.0</v>
      </c>
      <c r="CS42" s="1"/>
      <c r="CT42" s="4"/>
      <c r="CV42" s="1"/>
      <c r="CW42" s="4"/>
    </row>
    <row r="43">
      <c r="A43" s="36" t="s">
        <v>83</v>
      </c>
      <c r="B43" s="2">
        <v>6.0</v>
      </c>
      <c r="C43" s="1"/>
      <c r="D43" s="8"/>
      <c r="E43" s="12">
        <v>4.0</v>
      </c>
      <c r="F43" s="1"/>
      <c r="G43" s="8"/>
      <c r="H43" s="12">
        <v>7.0</v>
      </c>
      <c r="I43" s="1"/>
      <c r="J43" s="8"/>
      <c r="K43" s="12">
        <v>12.0</v>
      </c>
      <c r="L43" s="1"/>
      <c r="M43" s="8"/>
      <c r="N43" s="12">
        <v>8.0</v>
      </c>
      <c r="O43" s="1"/>
      <c r="P43" s="8"/>
      <c r="Q43" s="1"/>
      <c r="R43" s="3">
        <v>7.0</v>
      </c>
      <c r="S43" s="1"/>
      <c r="T43" s="8"/>
      <c r="U43" s="12">
        <v>9.0</v>
      </c>
      <c r="V43" s="1"/>
      <c r="W43" s="8"/>
      <c r="X43" s="12">
        <v>12.0</v>
      </c>
      <c r="Y43" s="1"/>
      <c r="Z43" s="8"/>
      <c r="AA43" s="12">
        <v>24.0</v>
      </c>
      <c r="AB43" s="1"/>
      <c r="AC43" s="8"/>
      <c r="AD43" s="2">
        <v>13.0</v>
      </c>
      <c r="AE43" s="1"/>
      <c r="AF43" s="8"/>
      <c r="AG43" s="12">
        <v>5.0</v>
      </c>
      <c r="AH43" s="1"/>
      <c r="AI43" s="8"/>
      <c r="AJ43" s="2">
        <v>9.0</v>
      </c>
      <c r="AK43" s="1"/>
      <c r="AL43" s="8"/>
      <c r="AM43" s="2">
        <v>2.0</v>
      </c>
      <c r="AN43" s="1"/>
      <c r="AO43" s="8"/>
      <c r="AP43" s="7">
        <v>30.0</v>
      </c>
      <c r="AQ43" s="1"/>
      <c r="AR43" s="8"/>
      <c r="AS43" s="7">
        <v>32.0</v>
      </c>
      <c r="AT43" s="1"/>
      <c r="AU43" s="8"/>
      <c r="AV43" s="12">
        <v>27.0</v>
      </c>
      <c r="AW43" s="1"/>
      <c r="AX43" s="8"/>
      <c r="AY43" s="12"/>
      <c r="AZ43" s="12">
        <v>9.0</v>
      </c>
      <c r="BA43" s="7">
        <v>15.0</v>
      </c>
      <c r="BB43" s="12">
        <v>9.0</v>
      </c>
      <c r="BC43" s="1"/>
      <c r="BD43" s="9"/>
      <c r="BE43" s="7"/>
      <c r="BF43" s="1"/>
      <c r="BG43" s="8"/>
      <c r="BH43" s="3">
        <v>9.0</v>
      </c>
      <c r="BI43" s="3">
        <v>4.0</v>
      </c>
      <c r="BJ43" s="3">
        <v>12.0</v>
      </c>
      <c r="BK43" s="3">
        <v>7.0</v>
      </c>
      <c r="BL43" s="1"/>
      <c r="BM43" s="8"/>
      <c r="BN43" s="7">
        <v>15.0</v>
      </c>
      <c r="BO43" s="1"/>
      <c r="BP43" s="8"/>
      <c r="BQ43" s="7">
        <v>19.0</v>
      </c>
      <c r="BR43" s="1"/>
      <c r="BS43" s="8"/>
      <c r="BT43" s="10">
        <v>13.0</v>
      </c>
      <c r="BU43" s="1"/>
      <c r="BV43" s="8"/>
      <c r="BW43" s="7">
        <v>16.0</v>
      </c>
      <c r="BX43" s="1"/>
      <c r="BY43" s="8"/>
      <c r="BZ43" s="7">
        <v>5.0</v>
      </c>
      <c r="CA43" s="1"/>
      <c r="CB43" s="8"/>
      <c r="CC43" s="12">
        <v>4.0</v>
      </c>
      <c r="CD43" s="1"/>
      <c r="CE43" s="8"/>
      <c r="CF43" s="2">
        <v>13.0</v>
      </c>
      <c r="CG43" s="2">
        <v>2.0</v>
      </c>
      <c r="CH43" s="1"/>
      <c r="CI43" s="3">
        <v>1.0</v>
      </c>
      <c r="CJ43" s="1"/>
      <c r="CK43" s="8"/>
      <c r="CL43" s="10">
        <v>2.0</v>
      </c>
      <c r="CM43" s="3">
        <v>3.0</v>
      </c>
      <c r="CN43" s="3">
        <v>1.0</v>
      </c>
      <c r="CO43" s="3">
        <v>1.0</v>
      </c>
      <c r="CP43" s="1"/>
      <c r="CQ43" s="8"/>
      <c r="CR43" s="10">
        <v>12.0</v>
      </c>
      <c r="CS43" s="1"/>
      <c r="CT43" s="8"/>
      <c r="CU43" s="2">
        <v>4.0</v>
      </c>
      <c r="CV43" s="1"/>
      <c r="CW43" s="8"/>
      <c r="DH43" s="2"/>
      <c r="DI43" s="2"/>
      <c r="DJ43" s="2"/>
    </row>
    <row r="44">
      <c r="A44" s="36" t="s">
        <v>84</v>
      </c>
      <c r="B44" s="2">
        <v>15.0</v>
      </c>
      <c r="C44" s="1"/>
      <c r="D44" s="4"/>
      <c r="E44" s="12">
        <v>11.0</v>
      </c>
      <c r="F44" s="1"/>
      <c r="G44" s="4"/>
      <c r="H44" s="12">
        <v>4.0</v>
      </c>
      <c r="I44" s="1"/>
      <c r="J44" s="4"/>
      <c r="K44" s="12">
        <v>1.0</v>
      </c>
      <c r="L44" s="1"/>
      <c r="M44" s="4"/>
      <c r="N44" s="12">
        <v>5.0</v>
      </c>
      <c r="O44" s="1"/>
      <c r="P44" s="4"/>
      <c r="Q44" s="1"/>
      <c r="R44" s="1"/>
      <c r="S44" s="1"/>
      <c r="T44" s="4"/>
      <c r="U44" s="12">
        <v>1.0</v>
      </c>
      <c r="V44" s="1"/>
      <c r="W44" s="4"/>
      <c r="X44" s="12">
        <v>2.0</v>
      </c>
      <c r="Y44" s="1"/>
      <c r="Z44" s="4"/>
      <c r="AA44" s="12">
        <v>8.0</v>
      </c>
      <c r="AB44" s="1"/>
      <c r="AC44" s="4"/>
      <c r="AD44" s="2">
        <v>1.0</v>
      </c>
      <c r="AE44" s="1"/>
      <c r="AF44" s="4"/>
      <c r="AG44" s="12">
        <v>5.0</v>
      </c>
      <c r="AH44" s="1"/>
      <c r="AI44" s="4"/>
      <c r="AK44" s="1"/>
      <c r="AL44" s="4"/>
      <c r="AM44" s="2">
        <v>1.0</v>
      </c>
      <c r="AN44" s="1"/>
      <c r="AO44" s="4"/>
      <c r="AP44" s="7">
        <v>3.0</v>
      </c>
      <c r="AQ44" s="1"/>
      <c r="AR44" s="4"/>
      <c r="AS44" s="7">
        <v>8.0</v>
      </c>
      <c r="AT44" s="1"/>
      <c r="AU44" s="4"/>
      <c r="AV44" s="3">
        <v>10.0</v>
      </c>
      <c r="AW44" s="1"/>
      <c r="AX44" s="4"/>
      <c r="AY44" s="1"/>
      <c r="AZ44" s="1"/>
      <c r="BA44" s="1"/>
      <c r="BB44" s="1"/>
      <c r="BC44" s="1"/>
      <c r="BD44" s="5"/>
      <c r="BE44" s="7"/>
      <c r="BF44" s="1"/>
      <c r="BG44" s="4"/>
      <c r="BH44" s="3">
        <v>0.0</v>
      </c>
      <c r="BI44" s="3">
        <v>1.0</v>
      </c>
      <c r="BJ44" s="3">
        <v>1.0</v>
      </c>
      <c r="BK44" s="3">
        <v>0.0</v>
      </c>
      <c r="BL44" s="1"/>
      <c r="BM44" s="4"/>
      <c r="BN44" s="7">
        <v>2.0</v>
      </c>
      <c r="BO44" s="1"/>
      <c r="BP44" s="4"/>
      <c r="BQ44" s="7">
        <v>3.0</v>
      </c>
      <c r="BR44" s="1"/>
      <c r="BS44" s="4"/>
      <c r="BT44" s="15"/>
      <c r="BU44" s="1"/>
      <c r="BV44" s="4"/>
      <c r="BW44" s="7">
        <v>0.0</v>
      </c>
      <c r="BX44" s="1"/>
      <c r="BY44" s="4"/>
      <c r="BZ44" s="7">
        <v>0.0</v>
      </c>
      <c r="CA44" s="1"/>
      <c r="CB44" s="4"/>
      <c r="CC44" s="7"/>
      <c r="CD44" s="1"/>
      <c r="CE44" s="4"/>
      <c r="CH44" s="3">
        <v>1.0</v>
      </c>
      <c r="CI44" s="1"/>
      <c r="CJ44" s="1"/>
      <c r="CK44" s="4"/>
      <c r="CL44" s="15"/>
      <c r="CM44" s="1"/>
      <c r="CN44" s="1"/>
      <c r="CO44" s="1"/>
      <c r="CP44" s="1"/>
      <c r="CQ44" s="4"/>
      <c r="CR44" s="6">
        <v>1.0</v>
      </c>
      <c r="CS44" s="1"/>
      <c r="CT44" s="4"/>
      <c r="CV44" s="1"/>
      <c r="CW44" s="4"/>
    </row>
    <row r="45">
      <c r="A45" s="37" t="s">
        <v>85</v>
      </c>
      <c r="B45" s="2">
        <v>5.0</v>
      </c>
      <c r="C45" s="1"/>
      <c r="D45" s="4"/>
      <c r="E45" s="12">
        <v>4.0</v>
      </c>
      <c r="F45" s="1"/>
      <c r="G45" s="4"/>
      <c r="H45" s="12">
        <v>3.0</v>
      </c>
      <c r="I45" s="1"/>
      <c r="J45" s="4"/>
      <c r="K45" s="12">
        <v>4.0</v>
      </c>
      <c r="L45" s="1"/>
      <c r="M45" s="4"/>
      <c r="N45" s="12">
        <v>3.0</v>
      </c>
      <c r="O45" s="1"/>
      <c r="P45" s="4"/>
      <c r="Q45" s="1"/>
      <c r="R45" s="1"/>
      <c r="S45" s="1"/>
      <c r="T45" s="4"/>
      <c r="U45" s="12"/>
      <c r="V45" s="1"/>
      <c r="W45" s="4"/>
      <c r="X45" s="12">
        <v>5.0</v>
      </c>
      <c r="Y45" s="1"/>
      <c r="Z45" s="4"/>
      <c r="AA45" s="12">
        <v>3.0</v>
      </c>
      <c r="AB45" s="1"/>
      <c r="AC45" s="4"/>
      <c r="AD45" s="2">
        <v>3.0</v>
      </c>
      <c r="AE45" s="1"/>
      <c r="AF45" s="4"/>
      <c r="AG45" s="12">
        <v>2.0</v>
      </c>
      <c r="AH45" s="1"/>
      <c r="AI45" s="4"/>
      <c r="AK45" s="1"/>
      <c r="AL45" s="4"/>
      <c r="AN45" s="1"/>
      <c r="AO45" s="4"/>
      <c r="AP45" s="7">
        <v>9.0</v>
      </c>
      <c r="AQ45" s="1"/>
      <c r="AR45" s="4"/>
      <c r="AS45" s="7">
        <v>5.0</v>
      </c>
      <c r="AT45" s="1"/>
      <c r="AU45" s="4"/>
      <c r="AV45" s="3">
        <v>2.0</v>
      </c>
      <c r="AW45" s="1"/>
      <c r="AX45" s="4"/>
      <c r="AY45" s="1"/>
      <c r="AZ45" s="1"/>
      <c r="BA45" s="1"/>
      <c r="BB45" s="1"/>
      <c r="BC45" s="1"/>
      <c r="BD45" s="5"/>
      <c r="BE45" s="12">
        <v>1.0</v>
      </c>
      <c r="BF45" s="1"/>
      <c r="BG45" s="4"/>
      <c r="BH45" s="1"/>
      <c r="BI45" s="3">
        <v>1.0</v>
      </c>
      <c r="BJ45" s="3">
        <v>1.0</v>
      </c>
      <c r="BK45" s="1"/>
      <c r="BL45" s="1"/>
      <c r="BM45" s="4"/>
      <c r="BN45" s="7">
        <v>2.0</v>
      </c>
      <c r="BO45" s="1"/>
      <c r="BP45" s="4"/>
      <c r="BQ45" s="7">
        <v>0.0</v>
      </c>
      <c r="BR45" s="1"/>
      <c r="BS45" s="4"/>
      <c r="BT45" s="6">
        <v>1.0</v>
      </c>
      <c r="BU45" s="1"/>
      <c r="BV45" s="4"/>
      <c r="BW45" s="7">
        <v>1.0</v>
      </c>
      <c r="BX45" s="1"/>
      <c r="BY45" s="4"/>
      <c r="BZ45" s="7">
        <v>1.0</v>
      </c>
      <c r="CA45" s="1"/>
      <c r="CB45" s="4"/>
      <c r="CC45" s="7"/>
      <c r="CD45" s="1"/>
      <c r="CE45" s="4"/>
      <c r="CG45" s="2">
        <v>1.0</v>
      </c>
      <c r="CH45" s="1"/>
      <c r="CI45" s="1"/>
      <c r="CJ45" s="1"/>
      <c r="CK45" s="4"/>
      <c r="CL45" s="15"/>
      <c r="CM45" s="1"/>
      <c r="CN45" s="1"/>
      <c r="CO45" s="1"/>
      <c r="CP45" s="1"/>
      <c r="CQ45" s="4"/>
      <c r="CR45" s="15"/>
      <c r="CS45" s="1"/>
      <c r="CT45" s="4"/>
      <c r="CV45" s="1"/>
      <c r="CW45" s="4"/>
    </row>
    <row r="46">
      <c r="A46" s="36" t="s">
        <v>86</v>
      </c>
      <c r="B46" s="2">
        <v>4.0</v>
      </c>
      <c r="C46" s="1"/>
      <c r="D46" s="8"/>
      <c r="E46" s="12">
        <v>4.0</v>
      </c>
      <c r="F46" s="1"/>
      <c r="G46" s="8"/>
      <c r="H46" s="12">
        <v>5.0</v>
      </c>
      <c r="I46" s="1"/>
      <c r="J46" s="8"/>
      <c r="K46" s="12">
        <v>7.0</v>
      </c>
      <c r="L46" s="1"/>
      <c r="M46" s="8"/>
      <c r="N46" s="12"/>
      <c r="O46" s="1"/>
      <c r="P46" s="8"/>
      <c r="Q46" s="3">
        <v>2.0</v>
      </c>
      <c r="R46" s="3">
        <v>5.0</v>
      </c>
      <c r="S46" s="1"/>
      <c r="T46" s="8"/>
      <c r="U46" s="12">
        <v>4.0</v>
      </c>
      <c r="V46" s="1"/>
      <c r="W46" s="8"/>
      <c r="X46" s="12">
        <v>9.0</v>
      </c>
      <c r="Y46" s="1"/>
      <c r="Z46" s="8"/>
      <c r="AA46" s="12">
        <v>16.0</v>
      </c>
      <c r="AB46" s="1"/>
      <c r="AC46" s="8"/>
      <c r="AD46" s="2">
        <v>6.0</v>
      </c>
      <c r="AE46" s="1"/>
      <c r="AF46" s="8"/>
      <c r="AG46" s="12">
        <v>11.0</v>
      </c>
      <c r="AH46" s="1"/>
      <c r="AI46" s="8"/>
      <c r="AK46" s="1"/>
      <c r="AL46" s="8"/>
      <c r="AN46" s="1"/>
      <c r="AO46" s="8"/>
      <c r="AP46" s="7">
        <v>26.0</v>
      </c>
      <c r="AQ46" s="1"/>
      <c r="AR46" s="8"/>
      <c r="AS46" s="7">
        <v>40.0</v>
      </c>
      <c r="AT46" s="1"/>
      <c r="AU46" s="8"/>
      <c r="AV46" s="12">
        <v>12.0</v>
      </c>
      <c r="AW46" s="1"/>
      <c r="AX46" s="8"/>
      <c r="AY46" s="12"/>
      <c r="AZ46" s="12">
        <v>4.0</v>
      </c>
      <c r="BA46" s="7">
        <v>2.0</v>
      </c>
      <c r="BB46" s="7"/>
      <c r="BC46" s="1"/>
      <c r="BD46" s="9"/>
      <c r="BE46" s="12">
        <v>6.0</v>
      </c>
      <c r="BF46" s="1"/>
      <c r="BG46" s="8"/>
      <c r="BH46" s="3">
        <v>3.0</v>
      </c>
      <c r="BI46" s="3">
        <v>1.0</v>
      </c>
      <c r="BJ46" s="3">
        <v>8.0</v>
      </c>
      <c r="BK46" s="3">
        <v>2.0</v>
      </c>
      <c r="BL46" s="1"/>
      <c r="BM46" s="8"/>
      <c r="BN46" s="7">
        <v>11.0</v>
      </c>
      <c r="BO46" s="1"/>
      <c r="BP46" s="8"/>
      <c r="BQ46" s="7">
        <v>30.0</v>
      </c>
      <c r="BR46" s="1"/>
      <c r="BS46" s="8"/>
      <c r="BT46" s="11"/>
      <c r="BU46" s="1"/>
      <c r="BV46" s="8"/>
      <c r="BW46" s="7">
        <v>0.0</v>
      </c>
      <c r="BX46" s="1"/>
      <c r="BY46" s="8"/>
      <c r="BZ46" s="7">
        <v>6.0</v>
      </c>
      <c r="CA46" s="1"/>
      <c r="CB46" s="8"/>
      <c r="CC46" s="12">
        <v>1.0</v>
      </c>
      <c r="CD46" s="1"/>
      <c r="CE46" s="8"/>
      <c r="CF46" s="2">
        <v>1.0</v>
      </c>
      <c r="CG46" s="2">
        <v>2.0</v>
      </c>
      <c r="CH46" s="1"/>
      <c r="CI46" s="1"/>
      <c r="CJ46" s="1"/>
      <c r="CK46" s="8"/>
      <c r="CL46" s="11"/>
      <c r="CM46" s="1"/>
      <c r="CN46" s="3">
        <v>1.0</v>
      </c>
      <c r="CO46" s="3">
        <v>2.0</v>
      </c>
      <c r="CP46" s="1"/>
      <c r="CQ46" s="8"/>
      <c r="CR46" s="10">
        <v>4.0</v>
      </c>
      <c r="CS46" s="1"/>
      <c r="CT46" s="8"/>
      <c r="CV46" s="1"/>
      <c r="CW46" s="8"/>
    </row>
    <row r="47">
      <c r="A47" s="37" t="s">
        <v>87</v>
      </c>
      <c r="B47" s="2">
        <v>8.0</v>
      </c>
      <c r="C47" s="1"/>
      <c r="D47" s="4"/>
      <c r="E47" s="12">
        <v>3.0</v>
      </c>
      <c r="F47" s="1"/>
      <c r="G47" s="4"/>
      <c r="H47" s="7"/>
      <c r="I47" s="1"/>
      <c r="J47" s="4"/>
      <c r="K47" s="12">
        <v>5.0</v>
      </c>
      <c r="L47" s="1"/>
      <c r="M47" s="4"/>
      <c r="N47" s="12">
        <v>1.0</v>
      </c>
      <c r="O47" s="1"/>
      <c r="P47" s="4"/>
      <c r="Q47" s="1"/>
      <c r="R47" s="1"/>
      <c r="S47" s="1"/>
      <c r="T47" s="4"/>
      <c r="U47" s="12">
        <v>4.0</v>
      </c>
      <c r="V47" s="1"/>
      <c r="W47" s="4"/>
      <c r="X47" s="12">
        <v>1.0</v>
      </c>
      <c r="Y47" s="3" t="s">
        <v>88</v>
      </c>
      <c r="Z47" s="4"/>
      <c r="AA47" s="12">
        <v>2.0</v>
      </c>
      <c r="AB47" s="1"/>
      <c r="AC47" s="4"/>
      <c r="AD47" s="2">
        <v>5.0</v>
      </c>
      <c r="AE47" s="1"/>
      <c r="AF47" s="4"/>
      <c r="AG47" s="12">
        <v>3.0</v>
      </c>
      <c r="AH47" s="1"/>
      <c r="AI47" s="4"/>
      <c r="AK47" s="1"/>
      <c r="AL47" s="4"/>
      <c r="AN47" s="1"/>
      <c r="AO47" s="4"/>
      <c r="AP47" s="7">
        <v>5.0</v>
      </c>
      <c r="AQ47" s="1"/>
      <c r="AR47" s="4"/>
      <c r="AS47" s="7">
        <v>5.0</v>
      </c>
      <c r="AT47" s="1"/>
      <c r="AU47" s="4"/>
      <c r="AV47" s="3">
        <v>1.0</v>
      </c>
      <c r="AW47" s="1"/>
      <c r="AX47" s="4"/>
      <c r="AY47" s="1"/>
      <c r="AZ47" s="1"/>
      <c r="BA47" s="1"/>
      <c r="BB47" s="1"/>
      <c r="BC47" s="1"/>
      <c r="BD47" s="5"/>
      <c r="BE47" s="7"/>
      <c r="BF47" s="1"/>
      <c r="BG47" s="4"/>
      <c r="BH47" s="1"/>
      <c r="BI47" s="1"/>
      <c r="BJ47" s="1"/>
      <c r="BK47" s="3">
        <v>1.0</v>
      </c>
      <c r="BL47" s="1"/>
      <c r="BM47" s="4"/>
      <c r="BN47" s="7">
        <v>1.0</v>
      </c>
      <c r="BO47" s="1"/>
      <c r="BP47" s="4"/>
      <c r="BQ47" s="7">
        <v>0.0</v>
      </c>
      <c r="BR47" s="1"/>
      <c r="BS47" s="4"/>
      <c r="BT47" s="15"/>
      <c r="BU47" s="1"/>
      <c r="BV47" s="4"/>
      <c r="BW47" s="7">
        <v>0.0</v>
      </c>
      <c r="BX47" s="1"/>
      <c r="BY47" s="4"/>
      <c r="BZ47" s="7">
        <v>0.0</v>
      </c>
      <c r="CA47" s="1"/>
      <c r="CB47" s="4"/>
      <c r="CC47" s="7"/>
      <c r="CD47" s="1"/>
      <c r="CE47" s="4"/>
      <c r="CH47" s="1"/>
      <c r="CI47" s="1"/>
      <c r="CJ47" s="1"/>
      <c r="CK47" s="4"/>
      <c r="CL47" s="15"/>
      <c r="CM47" s="1"/>
      <c r="CN47" s="1"/>
      <c r="CO47" s="1"/>
      <c r="CP47" s="1"/>
      <c r="CQ47" s="4"/>
      <c r="CR47" s="15"/>
      <c r="CS47" s="1"/>
      <c r="CT47" s="4"/>
      <c r="CV47" s="1"/>
      <c r="CW47" s="4"/>
    </row>
    <row r="48">
      <c r="A48" s="36" t="s">
        <v>89</v>
      </c>
      <c r="C48" s="1">
        <f>B47+B45+B40+B37+B38+B35+B33+B31</f>
        <v>59</v>
      </c>
      <c r="D48" s="8">
        <f t="shared" ref="D48:D49" si="66">C48/C$3*2000</f>
        <v>248.4210526</v>
      </c>
      <c r="E48" s="12">
        <v>5.0</v>
      </c>
      <c r="F48" s="1">
        <f>E47+E45+E40+E37+E38+E35+E33+E31</f>
        <v>20</v>
      </c>
      <c r="G48" s="8">
        <f t="shared" ref="G48:G49" si="67">F48/F$3*2000</f>
        <v>66.66666667</v>
      </c>
      <c r="H48" s="12">
        <v>4.0</v>
      </c>
      <c r="I48" s="1">
        <f>H47+H45+H40+H37+H38+H35+H33+H31</f>
        <v>12</v>
      </c>
      <c r="J48" s="8">
        <f t="shared" ref="J48:J49" si="68">I48/I$3*2000</f>
        <v>86.48648649</v>
      </c>
      <c r="K48" s="12">
        <v>2.0</v>
      </c>
      <c r="L48" s="1">
        <f>K47+K45+K40+K37+K38+K35+K33+K31</f>
        <v>18</v>
      </c>
      <c r="M48" s="8">
        <f t="shared" ref="M48:M49" si="69">L48/L$3*2000</f>
        <v>67.1641791</v>
      </c>
      <c r="N48" s="12"/>
      <c r="O48" s="1">
        <f>N47+N45+N40+N37+N38+N35+N33+N31</f>
        <v>10</v>
      </c>
      <c r="P48" s="8">
        <f t="shared" ref="P48:P49" si="70">O48/O$3*2000</f>
        <v>35.84229391</v>
      </c>
      <c r="Q48" s="3">
        <v>3.0</v>
      </c>
      <c r="R48" s="3">
        <v>1.0</v>
      </c>
      <c r="S48" s="1">
        <f>sum(Q31:R31)+sum(Q33:R33)+sum(Q35:R35)+sum(Q37:R37)+sum(Q38:R38)+sum(Q40:R40)+sum(Q45:R45)+sum(Q47:R47)</f>
        <v>0</v>
      </c>
      <c r="T48" s="8">
        <f t="shared" ref="T48:T49" si="71">S48/S$3*2000</f>
        <v>0</v>
      </c>
      <c r="U48" s="12"/>
      <c r="V48" s="1">
        <f>U47+U45+U40+U37+U38+U35+U33+U31</f>
        <v>12</v>
      </c>
      <c r="W48" s="8">
        <f t="shared" ref="W48:W49" si="72">V48/V$3*2000</f>
        <v>45.71428571</v>
      </c>
      <c r="X48" s="12"/>
      <c r="Y48" s="1">
        <f>X47+X45+X40+X37+X38+X35+X33+X31</f>
        <v>28</v>
      </c>
      <c r="Z48" s="8">
        <f t="shared" ref="Z48:Z49" si="73">Y48/Y$3*2000</f>
        <v>118.2058047</v>
      </c>
      <c r="AA48" s="12">
        <v>3.0</v>
      </c>
      <c r="AB48" s="1">
        <f>AA47+AA45+AA40+AA37+AA38+AA35+AA33+AA31</f>
        <v>15</v>
      </c>
      <c r="AC48" s="8">
        <f t="shared" ref="AC48:AC49" si="74">AB48/AB$3*2000</f>
        <v>50</v>
      </c>
      <c r="AD48" s="2">
        <v>4.0</v>
      </c>
      <c r="AE48" s="1">
        <f>AD47+AD45+AD40+AD37+AD38+AD35+AD33+AD31</f>
        <v>31</v>
      </c>
      <c r="AF48" s="8">
        <f t="shared" ref="AF48:AF49" si="75">AE48/AE$3*2000</f>
        <v>132.2666667</v>
      </c>
      <c r="AG48" s="12">
        <v>5.0</v>
      </c>
      <c r="AH48" s="1">
        <f>AG47+AG45+AG40+AG37+AG38+AG35+AG33+AG31</f>
        <v>10</v>
      </c>
      <c r="AI48" s="8">
        <f t="shared" ref="AI48:AI49" si="76">AH48/AH$3*2000</f>
        <v>34.90401396</v>
      </c>
      <c r="AJ48" s="2">
        <v>2.0</v>
      </c>
      <c r="AK48" s="1">
        <f>AJ47+AJ45+AJ40+AJ37+AJ38+AJ35+AJ33+AJ31</f>
        <v>3</v>
      </c>
      <c r="AL48" s="8">
        <f t="shared" ref="AL48:AL49" si="77">AK48/AK$3*2000</f>
        <v>15.07537688</v>
      </c>
      <c r="AN48" s="1">
        <f>AM47+AM45+AM40+AM37+AM38+AM35+AM33+AM31</f>
        <v>1</v>
      </c>
      <c r="AO48" s="8">
        <f t="shared" ref="AO48:AO49" si="78">AN48/AN$3*2000</f>
        <v>8.130081301</v>
      </c>
      <c r="AP48" s="7">
        <v>3.0</v>
      </c>
      <c r="AQ48" s="1">
        <f>AP47+AP45+AP40+AP37+AP38+AP35+AP33+AP31</f>
        <v>20</v>
      </c>
      <c r="AR48" s="8">
        <f t="shared" ref="AR48:AR49" si="79">AQ48/AQ$3*2000</f>
        <v>20.14098691</v>
      </c>
      <c r="AS48" s="7">
        <v>6.0</v>
      </c>
      <c r="AT48" s="1">
        <f>AS47+AS45+AS40+AS37+AS38+AS35+AS33+AS31</f>
        <v>25</v>
      </c>
      <c r="AU48" s="8">
        <f t="shared" ref="AU48:AU49" si="80">AT48/AT$3*2000</f>
        <v>24.57002457</v>
      </c>
      <c r="AV48" s="3">
        <v>1.0</v>
      </c>
      <c r="AW48" s="1">
        <f>AV47+AV45+AV40+AV37+AV38+AV35+AV33+AV31</f>
        <v>15</v>
      </c>
      <c r="AX48" s="8">
        <f t="shared" ref="AX48:AX49" si="81">AW48/AW$3*2000</f>
        <v>13.88888889</v>
      </c>
      <c r="AY48" s="1"/>
      <c r="AZ48" s="1"/>
      <c r="BA48" s="1"/>
      <c r="BB48" s="3">
        <v>2.0</v>
      </c>
      <c r="BC48" s="1">
        <f>sum(AY31:BB31)+sum(AY33:BB33)+sum(AY35:BB35)+sum(AY37:BB37)+sum(AY38:BB38)+sum(AY40:BB40)+sum(AY45:BB45)+sum(AY47:BB47)</f>
        <v>4</v>
      </c>
      <c r="BD48" s="9">
        <f t="shared" ref="BD48:BD49" si="82">BC48/BC$3*2000</f>
        <v>5.124919923</v>
      </c>
      <c r="BE48" s="7"/>
      <c r="BF48" s="1">
        <f>BE47+BE45+BE40+BE37+BE38+BE35+BE33+BE31</f>
        <v>1</v>
      </c>
      <c r="BG48" s="8">
        <f t="shared" ref="BG48:BG49" si="83">BF48/BF$3*2000</f>
        <v>5.934718101</v>
      </c>
      <c r="BH48" s="3">
        <v>3.0</v>
      </c>
      <c r="BI48" s="3">
        <v>2.0</v>
      </c>
      <c r="BJ48" s="3">
        <v>0.0</v>
      </c>
      <c r="BK48" s="3">
        <v>2.0</v>
      </c>
      <c r="BL48" s="1">
        <f>sum(BH31:BK31)+sum(BH33:BK33)+sum(BH35:BK35)+sum(BH37:BK37)+sum(BH38:BK38)+sum(BH40:BK40)+sum(BH45:BK45)+sum(BH47:BK47)</f>
        <v>8</v>
      </c>
      <c r="BM48" s="8">
        <f t="shared" ref="BM48:BM49" si="84">BL48/BL$3*2000</f>
        <v>5.421890884</v>
      </c>
      <c r="BN48" s="7">
        <v>2.0</v>
      </c>
      <c r="BO48" s="1">
        <f>BN47+BN45+BN40+BN37+BN38+BN35+BN33+BN31</f>
        <v>11</v>
      </c>
      <c r="BP48" s="8">
        <f t="shared" ref="BP48:BP49" si="85">BO48/BO$3*2000</f>
        <v>14.1025641</v>
      </c>
      <c r="BQ48" s="7">
        <v>3.0</v>
      </c>
      <c r="BR48" s="1">
        <f>BQ47+BQ45+BQ40+BQ37+BQ38+BQ35+BQ33+BQ31</f>
        <v>12</v>
      </c>
      <c r="BS48" s="8">
        <f t="shared" ref="BS48:BS49" si="86">BR48/BR$3*2000</f>
        <v>11.92250373</v>
      </c>
      <c r="BT48" s="6"/>
      <c r="BU48" s="15">
        <f>BT47+BT45+BT40+BT37+BT38+BT35+BT33+BT31</f>
        <v>3</v>
      </c>
      <c r="BV48" s="8">
        <f t="shared" ref="BV48:BV49" si="87">BU48/BU$3*2000</f>
        <v>12.48049922</v>
      </c>
      <c r="BW48" s="7">
        <v>0.0</v>
      </c>
      <c r="BX48" s="1">
        <f>BW47+BW45+BW40+BW37+BW38+BW35+BW33+BW31</f>
        <v>9</v>
      </c>
      <c r="BY48" s="8">
        <f t="shared" ref="BY48:BY49" si="88">BX48/BX$3*2000</f>
        <v>13.15789474</v>
      </c>
      <c r="BZ48" s="7">
        <v>0.0</v>
      </c>
      <c r="CA48" s="1">
        <f>BZ47+BZ45+BZ40+BZ37+BZ38+BZ35+BZ33+BZ31</f>
        <v>2</v>
      </c>
      <c r="CB48" s="8">
        <f t="shared" ref="CB48:CB49" si="89">CA48/CA$3*2000</f>
        <v>7.547169811</v>
      </c>
      <c r="CC48" s="7"/>
      <c r="CD48" s="1">
        <f>CC47+CC45+CC40+CC37+CC38+CC35+CC33+CC31</f>
        <v>0</v>
      </c>
      <c r="CE48" s="8">
        <f t="shared" ref="CE48:CE49" si="90">CD48/CD$3*2000</f>
        <v>0</v>
      </c>
      <c r="CH48" s="1"/>
      <c r="CI48" s="3">
        <v>1.0</v>
      </c>
      <c r="CJ48" s="1">
        <f>sum(CF31:CI31)+sum(CF33:CI33)+sum(CF35:CI35)+sum(CF37:CI37)+sum(CF38:CI38)+sum(CF40:CI40)+sum(CF45:CI45)+sum(CF47:CI47)</f>
        <v>1</v>
      </c>
      <c r="CK48" s="8">
        <f t="shared" ref="CK48:CK49" si="91">CJ48/CJ$3*2000</f>
        <v>0.7052186178</v>
      </c>
      <c r="CL48" s="6">
        <v>1.0</v>
      </c>
      <c r="CM48" s="1"/>
      <c r="CN48" s="1"/>
      <c r="CO48" s="1"/>
      <c r="CP48" s="15">
        <f>sum(CL31:CO31)+sum(CL33:CO33)+sum(CL35:CO35)+sum(CL37:CO37)+sum(CL38:CO38)+sum(CL40:CO40)+sum(CL45:CO45)+sum(CL47:CO47)</f>
        <v>2</v>
      </c>
      <c r="CQ48" s="8">
        <f t="shared" ref="CQ48:CQ49" si="92">CP48/CP$3*2000</f>
        <v>2.680965147</v>
      </c>
      <c r="CR48" s="6"/>
      <c r="CS48" s="15">
        <f>CR47+CR45+CR40+CR37+CR38+CR35+CR33+CR31</f>
        <v>3</v>
      </c>
      <c r="CT48" s="8">
        <f t="shared" ref="CT48:CT49" si="93">CS48/CS$3*2000</f>
        <v>2.21116639</v>
      </c>
      <c r="CV48" s="1">
        <f>CU47+CU45+CU40+CU37+CU38+CU35+CU33+CU31</f>
        <v>1</v>
      </c>
      <c r="CW48" s="8">
        <f t="shared" ref="CW48:CW49" si="94">CV48/CV$3*2000</f>
        <v>2.599935002</v>
      </c>
    </row>
    <row r="49">
      <c r="A49" s="40" t="s">
        <v>90</v>
      </c>
      <c r="B49" s="2">
        <v>9.0</v>
      </c>
      <c r="C49" s="7">
        <f>sum(B25:B49)</f>
        <v>156</v>
      </c>
      <c r="D49" s="16">
        <f t="shared" si="66"/>
        <v>656.8421053</v>
      </c>
      <c r="E49" s="12">
        <v>13.0</v>
      </c>
      <c r="F49" s="7">
        <f>sum(E25:E49)</f>
        <v>98</v>
      </c>
      <c r="G49" s="16">
        <f t="shared" si="67"/>
        <v>326.6666667</v>
      </c>
      <c r="H49" s="12">
        <v>13.0</v>
      </c>
      <c r="I49" s="7">
        <f>sum(H25:H49)</f>
        <v>65</v>
      </c>
      <c r="J49" s="16">
        <f t="shared" si="68"/>
        <v>468.4684685</v>
      </c>
      <c r="K49" s="12">
        <v>19.0</v>
      </c>
      <c r="L49" s="7">
        <f>sum(K25:K49)</f>
        <v>125</v>
      </c>
      <c r="M49" s="16">
        <f t="shared" si="69"/>
        <v>466.4179104</v>
      </c>
      <c r="N49" s="12">
        <v>17.0</v>
      </c>
      <c r="O49" s="7">
        <f>sum(N25:N49)</f>
        <v>80</v>
      </c>
      <c r="P49" s="16">
        <f t="shared" si="70"/>
        <v>286.7383513</v>
      </c>
      <c r="Q49" s="3">
        <v>10.0</v>
      </c>
      <c r="R49" s="3">
        <v>9.0</v>
      </c>
      <c r="S49" s="7">
        <f>sum(Q25:R49)</f>
        <v>71</v>
      </c>
      <c r="T49" s="16">
        <f t="shared" si="71"/>
        <v>298.9473684</v>
      </c>
      <c r="U49" s="12">
        <v>16.0</v>
      </c>
      <c r="V49" s="7">
        <f>sum(U25:U49)</f>
        <v>67</v>
      </c>
      <c r="W49" s="16">
        <f t="shared" si="72"/>
        <v>255.2380952</v>
      </c>
      <c r="X49" s="12">
        <v>4.0</v>
      </c>
      <c r="Y49" s="7">
        <f>sum(X25:X49)</f>
        <v>94</v>
      </c>
      <c r="Z49" s="16">
        <f t="shared" si="73"/>
        <v>396.8337731</v>
      </c>
      <c r="AA49" s="12">
        <v>20.0</v>
      </c>
      <c r="AB49" s="7">
        <f>sum(AA25:AA49)</f>
        <v>140</v>
      </c>
      <c r="AC49" s="16">
        <f t="shared" si="74"/>
        <v>466.6666667</v>
      </c>
      <c r="AD49" s="2">
        <v>17.0</v>
      </c>
      <c r="AE49" s="7">
        <f>sum(AD25:AD49)</f>
        <v>114</v>
      </c>
      <c r="AF49" s="16">
        <f t="shared" si="75"/>
        <v>486.4</v>
      </c>
      <c r="AG49" s="12">
        <v>11.0</v>
      </c>
      <c r="AH49" s="7">
        <f>sum(AG25:AG49)</f>
        <v>94</v>
      </c>
      <c r="AI49" s="16">
        <f t="shared" si="76"/>
        <v>328.0977312</v>
      </c>
      <c r="AJ49" s="2">
        <v>5.0</v>
      </c>
      <c r="AK49" s="7">
        <f>sum(AJ25:AJ49)</f>
        <v>34</v>
      </c>
      <c r="AL49" s="16">
        <f t="shared" si="77"/>
        <v>170.8542714</v>
      </c>
      <c r="AM49" s="2">
        <v>8.0</v>
      </c>
      <c r="AN49" s="7">
        <f>sum(AM25:AM49)</f>
        <v>19</v>
      </c>
      <c r="AO49" s="16">
        <f t="shared" si="78"/>
        <v>154.4715447</v>
      </c>
      <c r="AP49" s="7">
        <v>27.0</v>
      </c>
      <c r="AQ49" s="7">
        <f>sum(AP25:AP49)</f>
        <v>248</v>
      </c>
      <c r="AR49" s="16">
        <f t="shared" si="79"/>
        <v>249.7482377</v>
      </c>
      <c r="AS49" s="7">
        <v>34.0</v>
      </c>
      <c r="AT49" s="7">
        <f>sum(AS25:AS49)</f>
        <v>258</v>
      </c>
      <c r="AU49" s="16">
        <f t="shared" si="80"/>
        <v>253.5626536</v>
      </c>
      <c r="AV49" s="12">
        <v>74.0</v>
      </c>
      <c r="AW49" s="7">
        <f>sum(AV25:AV49)</f>
        <v>298</v>
      </c>
      <c r="AX49" s="16">
        <f t="shared" si="81"/>
        <v>275.9259259</v>
      </c>
      <c r="AY49" s="12"/>
      <c r="AZ49" s="12">
        <v>11.0</v>
      </c>
      <c r="BA49" s="7">
        <v>12.0</v>
      </c>
      <c r="BB49" s="12">
        <v>10.0</v>
      </c>
      <c r="BC49" s="7">
        <f>sum(AY25:BB49)</f>
        <v>232</v>
      </c>
      <c r="BD49" s="18">
        <f t="shared" si="82"/>
        <v>297.2453555</v>
      </c>
      <c r="BE49" s="12">
        <v>5.0</v>
      </c>
      <c r="BF49" s="7">
        <f>sum(BE25:BE49)</f>
        <v>40</v>
      </c>
      <c r="BG49" s="16">
        <f t="shared" si="83"/>
        <v>237.388724</v>
      </c>
      <c r="BH49" s="3">
        <v>21.0</v>
      </c>
      <c r="BI49" s="3">
        <v>13.0</v>
      </c>
      <c r="BJ49" s="2">
        <v>15.0</v>
      </c>
      <c r="BK49" s="12">
        <v>7.0</v>
      </c>
      <c r="BL49" s="7">
        <f>sum(BH25:BK49)</f>
        <v>340</v>
      </c>
      <c r="BM49" s="16">
        <f t="shared" si="84"/>
        <v>230.4303626</v>
      </c>
      <c r="BN49" s="7">
        <v>37.0</v>
      </c>
      <c r="BO49" s="7">
        <f>sum(BN25:BN49)</f>
        <v>147</v>
      </c>
      <c r="BP49" s="16">
        <f t="shared" si="85"/>
        <v>188.4615385</v>
      </c>
      <c r="BQ49" s="7">
        <v>14.0</v>
      </c>
      <c r="BR49" s="7">
        <f>sum(BQ25:BQ49)</f>
        <v>156</v>
      </c>
      <c r="BS49" s="16">
        <f t="shared" si="86"/>
        <v>154.9925484</v>
      </c>
      <c r="BT49" s="10">
        <v>9.0</v>
      </c>
      <c r="BU49" s="11">
        <f>sum(BT25:BT49)</f>
        <v>51</v>
      </c>
      <c r="BV49" s="16">
        <f t="shared" si="87"/>
        <v>212.1684867</v>
      </c>
      <c r="BW49" s="7">
        <v>21.0</v>
      </c>
      <c r="BX49" s="7">
        <f>sum(BW25:BW49)</f>
        <v>100</v>
      </c>
      <c r="BY49" s="16">
        <f t="shared" si="88"/>
        <v>146.1988304</v>
      </c>
      <c r="BZ49" s="7">
        <v>9.0</v>
      </c>
      <c r="CA49" s="7">
        <f>sum(BZ25:BZ49)</f>
        <v>38</v>
      </c>
      <c r="CB49" s="16">
        <f t="shared" si="89"/>
        <v>143.3962264</v>
      </c>
      <c r="CC49" s="12">
        <v>8.0</v>
      </c>
      <c r="CD49" s="7">
        <f>sum(CC25:CC49)</f>
        <v>36</v>
      </c>
      <c r="CE49" s="16">
        <f t="shared" si="90"/>
        <v>133.580705</v>
      </c>
      <c r="CF49" s="2">
        <v>4.0</v>
      </c>
      <c r="CG49" s="2">
        <v>9.0</v>
      </c>
      <c r="CH49" s="3">
        <v>15.0</v>
      </c>
      <c r="CI49" s="3">
        <v>5.0</v>
      </c>
      <c r="CJ49" s="7">
        <f>sum(CF25:CI49)</f>
        <v>161</v>
      </c>
      <c r="CK49" s="16">
        <f t="shared" si="91"/>
        <v>113.5401975</v>
      </c>
      <c r="CL49" s="10">
        <v>9.0</v>
      </c>
      <c r="CM49" s="12">
        <v>6.0</v>
      </c>
      <c r="CN49" s="12">
        <v>4.0</v>
      </c>
      <c r="CO49" s="12">
        <v>7.0</v>
      </c>
      <c r="CP49" s="11">
        <f>sum(CL25:CO49)</f>
        <v>69</v>
      </c>
      <c r="CQ49" s="16">
        <f t="shared" si="92"/>
        <v>92.49329759</v>
      </c>
      <c r="CR49" s="10">
        <v>35.0</v>
      </c>
      <c r="CS49" s="11">
        <f>sum(CR25:CR49)</f>
        <v>107</v>
      </c>
      <c r="CT49" s="16">
        <f t="shared" si="93"/>
        <v>78.86493459</v>
      </c>
      <c r="CU49" s="2">
        <v>8.0</v>
      </c>
      <c r="CV49" s="7">
        <f>sum(CU25:CU49)</f>
        <v>32</v>
      </c>
      <c r="CW49" s="16">
        <f t="shared" si="94"/>
        <v>83.19792005</v>
      </c>
    </row>
    <row r="50">
      <c r="A50" s="24" t="s">
        <v>91</v>
      </c>
      <c r="B50" s="2">
        <v>4.0</v>
      </c>
      <c r="C50" s="1"/>
      <c r="D50" s="8">
        <f>C49/C3*2000+D25</f>
        <v>1006.315789</v>
      </c>
      <c r="E50" s="12">
        <v>5.0</v>
      </c>
      <c r="F50" s="1"/>
      <c r="G50" s="8">
        <f>F49/F3*2000+G25</f>
        <v>743.3333333</v>
      </c>
      <c r="H50" s="7"/>
      <c r="I50" s="1"/>
      <c r="J50" s="8">
        <f>I49/I3*2000+J25</f>
        <v>843.2432432</v>
      </c>
      <c r="K50" s="12">
        <v>4.0</v>
      </c>
      <c r="L50" s="1"/>
      <c r="M50" s="8">
        <f>L49/L3*2000+M25</f>
        <v>757.4626866</v>
      </c>
      <c r="N50" s="12">
        <v>6.0</v>
      </c>
      <c r="O50" s="1"/>
      <c r="P50" s="8">
        <f>O49/O3*2000+P25</f>
        <v>455.1971326</v>
      </c>
      <c r="Q50" s="1"/>
      <c r="R50" s="1"/>
      <c r="S50" s="1"/>
      <c r="T50" s="8">
        <f>S49/S3*2000+T25</f>
        <v>391.5789474</v>
      </c>
      <c r="U50" s="12"/>
      <c r="V50" s="1"/>
      <c r="W50" s="8">
        <f>V49/V3*2000+W25</f>
        <v>400</v>
      </c>
      <c r="X50" s="12">
        <v>2.0</v>
      </c>
      <c r="Y50" s="3" t="s">
        <v>92</v>
      </c>
      <c r="Z50" s="8">
        <f>Y49/Y3*2000+Z25</f>
        <v>992.0844327</v>
      </c>
      <c r="AA50" s="12">
        <v>1.0</v>
      </c>
      <c r="AB50" s="1"/>
      <c r="AC50" s="8">
        <f>AB49/AB3*2000+AC25</f>
        <v>860</v>
      </c>
      <c r="AD50" s="2">
        <v>2.0</v>
      </c>
      <c r="AE50" s="1"/>
      <c r="AF50" s="8">
        <f>AE49/AE3*2000+AF25</f>
        <v>742.4</v>
      </c>
      <c r="AG50" s="12">
        <v>1.0</v>
      </c>
      <c r="AH50" s="1"/>
      <c r="AI50" s="8">
        <f>AH49/AH3*2000+AI25</f>
        <v>680.6282723</v>
      </c>
      <c r="AK50" s="1"/>
      <c r="AL50" s="8">
        <f>AK49/AK3*2000+AL25</f>
        <v>216.080402</v>
      </c>
      <c r="AN50" s="1"/>
      <c r="AO50" s="8">
        <f>AN49/AN3*2000+AO25</f>
        <v>170.7317073</v>
      </c>
      <c r="AP50" s="7">
        <v>1.0</v>
      </c>
      <c r="AQ50" s="1"/>
      <c r="AR50" s="8">
        <f>AQ49/AQ3*2000+AR25</f>
        <v>399.7985901</v>
      </c>
      <c r="AS50" s="7">
        <v>2.0</v>
      </c>
      <c r="AT50" s="1"/>
      <c r="AU50" s="8">
        <f>AT49/AT3*2000+AU25</f>
        <v>385.2579853</v>
      </c>
      <c r="AV50" s="1"/>
      <c r="AW50" s="1"/>
      <c r="AX50" s="8">
        <f>AW49/AW3*2000+AX25</f>
        <v>376.8518519</v>
      </c>
      <c r="AY50" s="1"/>
      <c r="AZ50" s="1"/>
      <c r="BA50" s="1"/>
      <c r="BB50" s="1"/>
      <c r="BC50" s="1"/>
      <c r="BD50" s="9">
        <f>BC49/BC3*2000+BD25</f>
        <v>349.7757848</v>
      </c>
      <c r="BE50" s="7"/>
      <c r="BF50" s="1"/>
      <c r="BG50" s="8">
        <f>BF49/BF3*2000+BG25</f>
        <v>314.5400593</v>
      </c>
      <c r="BH50" s="1"/>
      <c r="BI50" s="1"/>
      <c r="BJ50" s="1"/>
      <c r="BK50" s="1"/>
      <c r="BL50" s="1"/>
      <c r="BM50" s="8">
        <f>BL49/BL3*2000+BM25</f>
        <v>293.4598441</v>
      </c>
      <c r="BN50" s="7">
        <v>1.0</v>
      </c>
      <c r="BO50" s="1"/>
      <c r="BP50" s="8">
        <f>BO49/BO3*2000+BP25</f>
        <v>265.3846154</v>
      </c>
      <c r="BQ50" s="7">
        <v>3.0</v>
      </c>
      <c r="BR50" s="1"/>
      <c r="BS50" s="8">
        <f>BR49/BR3*2000+BS25</f>
        <v>224.5404868</v>
      </c>
      <c r="BT50" s="6"/>
      <c r="BU50" s="1"/>
      <c r="BV50" s="8">
        <f>BU49/BU3*2000+BV25</f>
        <v>253.7701508</v>
      </c>
      <c r="BW50" s="7">
        <v>2.0</v>
      </c>
      <c r="BX50" s="1"/>
      <c r="BY50" s="8">
        <f>BX49/BX3*2000+BY25</f>
        <v>181.2865497</v>
      </c>
      <c r="BZ50" s="7">
        <v>1.0</v>
      </c>
      <c r="CA50" s="1"/>
      <c r="CB50" s="8">
        <f>CA49/CA3*2000+CB25</f>
        <v>169.8113208</v>
      </c>
      <c r="CC50" s="7"/>
      <c r="CD50" s="1"/>
      <c r="CE50" s="8">
        <f>CD49/CD3*2000+CE25</f>
        <v>148.4230056</v>
      </c>
      <c r="CH50" s="1"/>
      <c r="CI50" s="1"/>
      <c r="CJ50" s="1"/>
      <c r="CK50" s="8">
        <f>CJ49/CJ3*2000+CK25</f>
        <v>136.1071932</v>
      </c>
      <c r="CL50" s="6"/>
      <c r="CM50" s="1"/>
      <c r="CN50" s="1"/>
      <c r="CO50" s="1"/>
      <c r="CP50" s="1"/>
      <c r="CQ50" s="8">
        <f>CP49/CP3*2000+CQ25</f>
        <v>107.2386059</v>
      </c>
      <c r="CR50" s="6"/>
      <c r="CS50" s="1"/>
      <c r="CT50" s="8">
        <f>CS49/CS3*2000+CT25</f>
        <v>89.18371107</v>
      </c>
      <c r="CV50" s="1"/>
      <c r="CW50" s="8">
        <f>CV49/CV3*2000+CW25</f>
        <v>88.39779006</v>
      </c>
    </row>
    <row r="51">
      <c r="A51" s="24" t="s">
        <v>93</v>
      </c>
      <c r="C51" s="1"/>
      <c r="D51" s="4">
        <f>D50-D48-D23-D10</f>
        <v>741.0526316</v>
      </c>
      <c r="E51" s="7"/>
      <c r="F51" s="1"/>
      <c r="G51" s="4">
        <f>G50-G48-G23-G10</f>
        <v>660</v>
      </c>
      <c r="H51" s="7"/>
      <c r="I51" s="1"/>
      <c r="J51" s="4">
        <f>J50-J48-J23-J10</f>
        <v>742.3423423</v>
      </c>
      <c r="K51" s="7"/>
      <c r="L51" s="1"/>
      <c r="M51" s="4">
        <f>M50-M48-M23-M10</f>
        <v>656.7164179</v>
      </c>
      <c r="N51" s="12">
        <v>5.0</v>
      </c>
      <c r="O51" s="1"/>
      <c r="P51" s="4">
        <f>P50-P48-P23-P10</f>
        <v>415.7706093</v>
      </c>
      <c r="Q51" s="1"/>
      <c r="R51" s="1"/>
      <c r="S51" s="1"/>
      <c r="T51" s="4">
        <f>T50-T48-T23-T10</f>
        <v>391.5789474</v>
      </c>
      <c r="U51" s="12">
        <v>1.0</v>
      </c>
      <c r="V51" s="1"/>
      <c r="W51" s="4">
        <f>W50-W48-W23-W10</f>
        <v>335.2380952</v>
      </c>
      <c r="X51" s="12">
        <v>1.0</v>
      </c>
      <c r="Y51" s="1"/>
      <c r="Z51" s="4">
        <f>Z50-Z48-Z23-Z10</f>
        <v>861.2137203</v>
      </c>
      <c r="AA51" s="7"/>
      <c r="AB51" s="1"/>
      <c r="AC51" s="4">
        <f>AC50-AC48-AC23-AC10</f>
        <v>803.3333333</v>
      </c>
      <c r="AE51" s="1"/>
      <c r="AF51" s="4">
        <f>AF50-AF48-AF23-AF10</f>
        <v>588.8</v>
      </c>
      <c r="AG51" s="7"/>
      <c r="AH51" s="1"/>
      <c r="AI51" s="4">
        <f>AI50-AI48-AI23-AI10</f>
        <v>614.3106457</v>
      </c>
      <c r="AK51" s="1"/>
      <c r="AL51" s="4">
        <f>AL50-AL48-AL23-AL10</f>
        <v>201.0050251</v>
      </c>
      <c r="AN51" s="1"/>
      <c r="AO51" s="4">
        <f>AO50-AO48-AO23-AO10</f>
        <v>154.4715447</v>
      </c>
      <c r="AP51" s="7">
        <v>2.0</v>
      </c>
      <c r="AQ51" s="1"/>
      <c r="AR51" s="4">
        <f>AR50-AR48-AR23-AR10</f>
        <v>376.6364552</v>
      </c>
      <c r="AS51" s="7">
        <v>1.0</v>
      </c>
      <c r="AT51" s="1"/>
      <c r="AU51" s="4">
        <f>AU50-AU48-AU23-AU10</f>
        <v>353.8083538</v>
      </c>
      <c r="AV51" s="1"/>
      <c r="AW51" s="1"/>
      <c r="AX51" s="4">
        <f>AX50-AX48-AX23-AX10</f>
        <v>355.5555556</v>
      </c>
      <c r="AY51" s="1"/>
      <c r="AZ51" s="1"/>
      <c r="BA51" s="1"/>
      <c r="BB51" s="1"/>
      <c r="BC51" s="1"/>
      <c r="BD51" s="5">
        <f>BD50-BD48-BD23-BD10</f>
        <v>344.6508648</v>
      </c>
      <c r="BE51" s="7"/>
      <c r="BF51" s="1"/>
      <c r="BG51" s="4">
        <f>BG50-BG48-BG23-BG10</f>
        <v>308.6053412</v>
      </c>
      <c r="BH51" s="1"/>
      <c r="BI51" s="1"/>
      <c r="BJ51" s="1"/>
      <c r="BK51" s="1"/>
      <c r="BL51" s="1"/>
      <c r="BM51" s="4">
        <f>BM50-BM48-BM23-BM10</f>
        <v>287.3602169</v>
      </c>
      <c r="BN51" s="7">
        <v>1.0</v>
      </c>
      <c r="BO51" s="1"/>
      <c r="BP51" s="4">
        <f>BP50-BP48-BP23-BP10</f>
        <v>248.7179487</v>
      </c>
      <c r="BQ51" s="7">
        <v>1.0</v>
      </c>
      <c r="BR51" s="1"/>
      <c r="BS51" s="4">
        <f>BS50-BS48-BS23-BS10</f>
        <v>210.6308992</v>
      </c>
      <c r="BT51" s="15"/>
      <c r="BU51" s="1"/>
      <c r="BV51" s="4">
        <f>BV50-BV48-BV23-BV10</f>
        <v>232.9693188</v>
      </c>
      <c r="BW51" s="7">
        <v>3.0</v>
      </c>
      <c r="BX51" s="1"/>
      <c r="BY51" s="4">
        <f>BY50-BY48-BY23-BY10</f>
        <v>166.6666667</v>
      </c>
      <c r="BZ51" s="7">
        <v>0.0</v>
      </c>
      <c r="CA51" s="1"/>
      <c r="CB51" s="4">
        <f>CB50-CB48-CB23-CB10</f>
        <v>162.2641509</v>
      </c>
      <c r="CC51" s="7"/>
      <c r="CD51" s="1"/>
      <c r="CE51" s="4">
        <f>CE50-CE48-CE23-CE10</f>
        <v>144.7124304</v>
      </c>
      <c r="CH51" s="1"/>
      <c r="CI51" s="1"/>
      <c r="CJ51" s="1"/>
      <c r="CK51" s="4">
        <f>CK50-CK48-CK23-CK10</f>
        <v>133.2863188</v>
      </c>
      <c r="CL51" s="15"/>
      <c r="CM51" s="1"/>
      <c r="CN51" s="1"/>
      <c r="CO51" s="1"/>
      <c r="CP51" s="1"/>
      <c r="CQ51" s="4">
        <f>CQ50-CQ48-CQ23-CQ10</f>
        <v>104.5576408</v>
      </c>
      <c r="CR51" s="15"/>
      <c r="CS51" s="1"/>
      <c r="CT51" s="4">
        <f>CT50-CT48-CT23-CT10</f>
        <v>86.23548922</v>
      </c>
      <c r="CV51" s="1"/>
      <c r="CW51" s="4">
        <f>CW50-CW48-CW23-CW10</f>
        <v>85.79785505</v>
      </c>
    </row>
    <row r="52">
      <c r="A52" s="24" t="s">
        <v>94</v>
      </c>
      <c r="C52" s="1"/>
      <c r="D52" s="4"/>
      <c r="E52" s="12">
        <v>1.0</v>
      </c>
      <c r="F52" s="1"/>
      <c r="G52" s="4"/>
      <c r="H52" s="7"/>
      <c r="I52" s="1"/>
      <c r="J52" s="4"/>
      <c r="K52" s="7"/>
      <c r="L52" s="1"/>
      <c r="M52" s="4"/>
      <c r="N52" s="7"/>
      <c r="O52" s="1"/>
      <c r="P52" s="4"/>
      <c r="Q52" s="1"/>
      <c r="R52" s="1"/>
      <c r="S52" s="1"/>
      <c r="T52" s="4"/>
      <c r="U52" s="7"/>
      <c r="V52" s="1"/>
      <c r="W52" s="4"/>
      <c r="X52" s="7"/>
      <c r="Y52" s="1"/>
      <c r="Z52" s="4"/>
      <c r="AA52" s="7"/>
      <c r="AB52" s="1"/>
      <c r="AC52" s="4"/>
      <c r="AD52" s="2">
        <v>1.0</v>
      </c>
      <c r="AE52" s="1"/>
      <c r="AF52" s="4"/>
      <c r="AG52" s="7"/>
      <c r="AH52" s="1"/>
      <c r="AI52" s="4"/>
      <c r="AK52" s="1"/>
      <c r="AL52" s="4"/>
      <c r="AN52" s="1"/>
      <c r="AO52" s="4"/>
      <c r="AP52" s="7">
        <v>2.0</v>
      </c>
      <c r="AQ52" s="1"/>
      <c r="AR52" s="4"/>
      <c r="AS52" s="7">
        <v>2.0</v>
      </c>
      <c r="AT52" s="1"/>
      <c r="AU52" s="4"/>
      <c r="AV52" s="1"/>
      <c r="AW52" s="1"/>
      <c r="AX52" s="4"/>
      <c r="AY52" s="1"/>
      <c r="AZ52" s="1"/>
      <c r="BA52" s="1"/>
      <c r="BB52" s="1"/>
      <c r="BC52" s="1"/>
      <c r="BD52" s="5"/>
      <c r="BE52" s="7"/>
      <c r="BF52" s="1"/>
      <c r="BG52" s="4"/>
      <c r="BH52" s="1"/>
      <c r="BI52" s="1"/>
      <c r="BJ52" s="1"/>
      <c r="BK52" s="1"/>
      <c r="BL52" s="1"/>
      <c r="BM52" s="4"/>
      <c r="BN52" s="7">
        <v>0.0</v>
      </c>
      <c r="BO52" s="1"/>
      <c r="BP52" s="4"/>
      <c r="BQ52" s="7">
        <v>0.0</v>
      </c>
      <c r="BR52" s="1"/>
      <c r="BS52" s="4"/>
      <c r="BT52" s="15"/>
      <c r="BU52" s="1"/>
      <c r="BV52" s="4"/>
      <c r="BW52" s="12">
        <v>1.0</v>
      </c>
      <c r="BX52" s="1"/>
      <c r="BY52" s="4"/>
      <c r="BZ52" s="7">
        <v>1.0</v>
      </c>
      <c r="CA52" s="1"/>
      <c r="CB52" s="4"/>
      <c r="CC52" s="7"/>
      <c r="CD52" s="1"/>
      <c r="CE52" s="4"/>
      <c r="CH52" s="1"/>
      <c r="CI52" s="1"/>
      <c r="CJ52" s="1"/>
      <c r="CK52" s="4"/>
      <c r="CL52" s="15"/>
      <c r="CM52" s="1"/>
      <c r="CN52" s="1"/>
      <c r="CO52" s="1"/>
      <c r="CP52" s="1"/>
      <c r="CQ52" s="4"/>
      <c r="CR52" s="15"/>
      <c r="CS52" s="1"/>
      <c r="CT52" s="4"/>
      <c r="CV52" s="1"/>
      <c r="CW52" s="4"/>
    </row>
    <row r="53">
      <c r="A53" s="24" t="s">
        <v>95</v>
      </c>
      <c r="C53" s="1"/>
      <c r="D53" s="4"/>
      <c r="E53" s="12">
        <v>1.0</v>
      </c>
      <c r="F53" s="1"/>
      <c r="G53" s="4"/>
      <c r="H53" s="7"/>
      <c r="I53" s="1"/>
      <c r="J53" s="4"/>
      <c r="K53" s="12">
        <v>1.0</v>
      </c>
      <c r="L53" s="1"/>
      <c r="M53" s="4"/>
      <c r="N53" s="12">
        <v>1.0</v>
      </c>
      <c r="O53" s="1"/>
      <c r="P53" s="4"/>
      <c r="Q53" s="1"/>
      <c r="R53" s="1"/>
      <c r="S53" s="1"/>
      <c r="T53" s="4"/>
      <c r="U53" s="12"/>
      <c r="V53" s="1"/>
      <c r="W53" s="4"/>
      <c r="X53" s="12">
        <v>2.0</v>
      </c>
      <c r="Y53" s="1"/>
      <c r="Z53" s="4"/>
      <c r="AA53" s="12">
        <v>4.0</v>
      </c>
      <c r="AB53" s="1"/>
      <c r="AC53" s="4"/>
      <c r="AD53" s="2">
        <v>1.0</v>
      </c>
      <c r="AE53" s="1"/>
      <c r="AF53" s="4"/>
      <c r="AG53" s="12">
        <v>1.0</v>
      </c>
      <c r="AH53" s="1"/>
      <c r="AI53" s="4"/>
      <c r="AK53" s="1"/>
      <c r="AL53" s="4"/>
      <c r="AM53" s="2">
        <v>1.0</v>
      </c>
      <c r="AN53" s="1"/>
      <c r="AO53" s="4"/>
      <c r="AP53" s="7">
        <v>8.0</v>
      </c>
      <c r="AQ53" s="1"/>
      <c r="AR53" s="4"/>
      <c r="AS53" s="7">
        <v>6.0</v>
      </c>
      <c r="AT53" s="1"/>
      <c r="AU53" s="4"/>
      <c r="AV53" s="3">
        <v>1.0</v>
      </c>
      <c r="AW53" s="1"/>
      <c r="AX53" s="4"/>
      <c r="AY53" s="1"/>
      <c r="AZ53" s="1"/>
      <c r="BA53" s="1"/>
      <c r="BB53" s="1"/>
      <c r="BC53" s="1"/>
      <c r="BD53" s="5"/>
      <c r="BE53" s="7"/>
      <c r="BF53" s="1"/>
      <c r="BG53" s="4"/>
      <c r="BH53" s="3">
        <v>1.0</v>
      </c>
      <c r="BI53" s="3">
        <v>2.0</v>
      </c>
      <c r="BJ53" s="3">
        <v>4.0</v>
      </c>
      <c r="BK53" s="1"/>
      <c r="BL53" s="1"/>
      <c r="BM53" s="4"/>
      <c r="BN53" s="7">
        <v>0.0</v>
      </c>
      <c r="BO53" s="1"/>
      <c r="BP53" s="4"/>
      <c r="BQ53" s="7">
        <v>0.0</v>
      </c>
      <c r="BR53" s="1"/>
      <c r="BS53" s="4"/>
      <c r="BT53" s="6">
        <v>1.0</v>
      </c>
      <c r="BU53" s="1"/>
      <c r="BV53" s="4"/>
      <c r="BW53" s="7">
        <v>0.0</v>
      </c>
      <c r="BX53" s="1"/>
      <c r="BY53" s="4"/>
      <c r="BZ53" s="7">
        <v>0.0</v>
      </c>
      <c r="CA53" s="1"/>
      <c r="CB53" s="4"/>
      <c r="CC53" s="12">
        <v>1.0</v>
      </c>
      <c r="CD53" s="1"/>
      <c r="CE53" s="4"/>
      <c r="CF53" s="2">
        <v>1.0</v>
      </c>
      <c r="CG53" s="2">
        <v>2.0</v>
      </c>
      <c r="CH53" s="1"/>
      <c r="CI53" s="3">
        <v>1.0</v>
      </c>
      <c r="CJ53" s="1"/>
      <c r="CK53" s="4"/>
      <c r="CL53" s="6"/>
      <c r="CM53" s="1"/>
      <c r="CN53" s="1"/>
      <c r="CO53" s="1"/>
      <c r="CP53" s="1"/>
      <c r="CQ53" s="4"/>
      <c r="CR53" s="6"/>
      <c r="CS53" s="1"/>
      <c r="CT53" s="4"/>
      <c r="CV53" s="1"/>
      <c r="CW53" s="4"/>
    </row>
    <row r="54">
      <c r="A54" s="41" t="s">
        <v>96</v>
      </c>
      <c r="C54" s="1"/>
      <c r="D54" s="4"/>
      <c r="E54" s="12"/>
      <c r="F54" s="1"/>
      <c r="G54" s="4"/>
      <c r="H54" s="12"/>
      <c r="I54" s="1"/>
      <c r="J54" s="4"/>
      <c r="K54" s="12"/>
      <c r="L54" s="1"/>
      <c r="M54" s="4"/>
      <c r="N54" s="7"/>
      <c r="O54" s="1"/>
      <c r="P54" s="4"/>
      <c r="Q54" s="1"/>
      <c r="R54" s="1"/>
      <c r="S54" s="1"/>
      <c r="T54" s="4"/>
      <c r="U54" s="12"/>
      <c r="V54" s="1"/>
      <c r="W54" s="4"/>
      <c r="X54" s="7"/>
      <c r="Y54" s="1"/>
      <c r="Z54" s="4"/>
      <c r="AA54" s="7"/>
      <c r="AB54" s="1"/>
      <c r="AC54" s="4"/>
      <c r="AE54" s="1"/>
      <c r="AF54" s="4"/>
      <c r="AG54" s="12"/>
      <c r="AH54" s="1"/>
      <c r="AI54" s="4"/>
      <c r="AK54" s="1"/>
      <c r="AL54" s="4"/>
      <c r="AN54" s="1"/>
      <c r="AO54" s="4"/>
      <c r="AP54" s="7"/>
      <c r="AQ54" s="1"/>
      <c r="AR54" s="4"/>
      <c r="AS54" s="7"/>
      <c r="AT54" s="1"/>
      <c r="AU54" s="4"/>
      <c r="AV54" s="1"/>
      <c r="AW54" s="1"/>
      <c r="AX54" s="4"/>
      <c r="AY54" s="1"/>
      <c r="AZ54" s="1"/>
      <c r="BA54" s="1"/>
      <c r="BB54" s="1"/>
      <c r="BC54" s="1"/>
      <c r="BD54" s="5"/>
      <c r="BE54" s="7"/>
      <c r="BF54" s="1"/>
      <c r="BG54" s="4"/>
      <c r="BH54" s="1"/>
      <c r="BI54" s="1"/>
      <c r="BJ54" s="1"/>
      <c r="BK54" s="1"/>
      <c r="BL54" s="1"/>
      <c r="BM54" s="4"/>
      <c r="BN54" s="7"/>
      <c r="BO54" s="1"/>
      <c r="BP54" s="4"/>
      <c r="BQ54" s="7"/>
      <c r="BR54" s="1"/>
      <c r="BS54" s="4"/>
      <c r="BT54" s="6"/>
      <c r="BU54" s="1"/>
      <c r="BV54" s="4"/>
      <c r="BW54" s="7"/>
      <c r="BX54" s="1"/>
      <c r="BY54" s="4"/>
      <c r="BZ54" s="7"/>
      <c r="CA54" s="1"/>
      <c r="CB54" s="4"/>
      <c r="CC54" s="7"/>
      <c r="CD54" s="1"/>
      <c r="CE54" s="4"/>
      <c r="CF54" s="2">
        <v>1.0</v>
      </c>
      <c r="CH54" s="1"/>
      <c r="CI54" s="1"/>
      <c r="CJ54" s="1"/>
      <c r="CK54" s="4"/>
      <c r="CL54" s="6"/>
      <c r="CM54" s="1"/>
      <c r="CN54" s="1"/>
      <c r="CO54" s="1"/>
      <c r="CP54" s="1"/>
      <c r="CQ54" s="4"/>
      <c r="CR54" s="6"/>
      <c r="CS54" s="1"/>
      <c r="CT54" s="4"/>
      <c r="CV54" s="1"/>
      <c r="CW54" s="4"/>
    </row>
    <row r="55">
      <c r="A55" s="41"/>
      <c r="C55" s="1">
        <f>sum(B50:B54)</f>
        <v>4</v>
      </c>
      <c r="D55" s="8">
        <f>C55/C$3*2000</f>
        <v>16.84210526</v>
      </c>
      <c r="F55" s="1">
        <f>sum(E50:E54)</f>
        <v>7</v>
      </c>
      <c r="G55" s="8">
        <f>F55/F$3*2000</f>
        <v>23.33333333</v>
      </c>
      <c r="I55" s="1">
        <f>sum(H50:H54)</f>
        <v>0</v>
      </c>
      <c r="J55" s="8">
        <f>I55/I$3*2000</f>
        <v>0</v>
      </c>
      <c r="L55" s="1">
        <f>sum(K50:K54)</f>
        <v>5</v>
      </c>
      <c r="M55" s="8">
        <f>L55/L$3*2000</f>
        <v>18.65671642</v>
      </c>
      <c r="O55" s="1">
        <f>sum(N50:N54)</f>
        <v>12</v>
      </c>
      <c r="P55" s="8">
        <f>O55/O$3*2000</f>
        <v>43.01075269</v>
      </c>
      <c r="Q55" s="1"/>
      <c r="R55" s="1"/>
      <c r="S55" s="1">
        <f>sum(R50:R54)</f>
        <v>0</v>
      </c>
      <c r="T55" s="8">
        <f>S55/S$3*2000</f>
        <v>0</v>
      </c>
      <c r="U55" s="12"/>
      <c r="V55" s="1">
        <f>sum(U50:U54)</f>
        <v>1</v>
      </c>
      <c r="W55" s="8">
        <f>V55/V$3*2000</f>
        <v>3.80952381</v>
      </c>
      <c r="X55" s="12"/>
      <c r="Y55" s="1">
        <f>sum(X50:X54)</f>
        <v>5</v>
      </c>
      <c r="Z55" s="8">
        <f>Y55/Y$3*2000</f>
        <v>21.10817942</v>
      </c>
      <c r="AA55" s="12"/>
      <c r="AB55" s="1">
        <f>sum(AA50:AA54)</f>
        <v>5</v>
      </c>
      <c r="AC55" s="8">
        <f>AB55/AB$3*2000</f>
        <v>16.66666667</v>
      </c>
      <c r="AD55" s="12"/>
      <c r="AE55" s="1">
        <f>sum(AD50:AD54)</f>
        <v>4</v>
      </c>
      <c r="AF55" s="8">
        <f>AE55/AE$3*2000</f>
        <v>17.06666667</v>
      </c>
      <c r="AG55" s="12"/>
      <c r="AH55" s="1">
        <f>sum(AG50:AG54)</f>
        <v>2</v>
      </c>
      <c r="AI55" s="8">
        <f>AH55/AH$3*2000</f>
        <v>6.980802792</v>
      </c>
      <c r="AJ55" s="12"/>
      <c r="AK55" s="1">
        <f>sum(AJ50:AJ54)</f>
        <v>0</v>
      </c>
      <c r="AL55" s="8">
        <f>AK55/AK$3*2000</f>
        <v>0</v>
      </c>
      <c r="AM55" s="12"/>
      <c r="AN55" s="1">
        <f>sum(AM50:AM54)</f>
        <v>1</v>
      </c>
      <c r="AO55" s="8">
        <f>AN55/AN$3*2000</f>
        <v>8.130081301</v>
      </c>
      <c r="AP55" s="12"/>
      <c r="AQ55" s="1">
        <f>sum(AP50:AP54)</f>
        <v>13</v>
      </c>
      <c r="AR55" s="8">
        <f>AQ55/AQ$3*2000</f>
        <v>13.09164149</v>
      </c>
      <c r="AS55" s="12"/>
      <c r="AT55" s="1">
        <f>sum(AS50:AS54)</f>
        <v>11</v>
      </c>
      <c r="AU55" s="8">
        <f>AT55/AT$3*2000</f>
        <v>10.81081081</v>
      </c>
      <c r="AV55" s="12"/>
      <c r="AW55" s="1">
        <f>sum(AV50:AV54)</f>
        <v>1</v>
      </c>
      <c r="AX55" s="8">
        <f>AW55/AW$3*2000</f>
        <v>0.9259259259</v>
      </c>
      <c r="AY55" s="12"/>
      <c r="AZ55" s="12"/>
      <c r="BA55" s="12"/>
      <c r="BB55" s="12"/>
      <c r="BC55" s="3">
        <v>7.0</v>
      </c>
      <c r="BD55" s="9">
        <f>BC55/BC$3*2000</f>
        <v>8.968609865</v>
      </c>
      <c r="BE55" s="12"/>
      <c r="BF55" s="1">
        <f>sum(BE50:BE54)</f>
        <v>0</v>
      </c>
      <c r="BG55" s="8">
        <f>BF55/BF$3*2000</f>
        <v>0</v>
      </c>
      <c r="BH55" s="1"/>
      <c r="BI55" s="1"/>
      <c r="BJ55" s="1"/>
      <c r="BK55" s="1"/>
      <c r="BL55" s="3">
        <v>7.0</v>
      </c>
      <c r="BM55" s="8">
        <f>BL55/BL$3*2000</f>
        <v>4.744154524</v>
      </c>
      <c r="BN55" s="7"/>
      <c r="BO55" s="1">
        <f>sum(BN50:BN54)</f>
        <v>2</v>
      </c>
      <c r="BP55" s="8">
        <f>BO55/BO$3*2000</f>
        <v>2.564102564</v>
      </c>
      <c r="BQ55" s="7"/>
      <c r="BR55" s="1">
        <f>sum(BQ50:BQ54)</f>
        <v>4</v>
      </c>
      <c r="BS55" s="8">
        <f>BR55/BR$3*2000</f>
        <v>3.974167909</v>
      </c>
      <c r="BT55" s="7"/>
      <c r="BU55" s="15">
        <f>sum(BT50:BT54)</f>
        <v>1</v>
      </c>
      <c r="BV55" s="8">
        <f>BU55/BU$3*2000</f>
        <v>4.160166407</v>
      </c>
      <c r="BW55" s="7"/>
      <c r="BX55" s="1">
        <f>sum(BW50:BW54)</f>
        <v>6</v>
      </c>
      <c r="BY55" s="8">
        <f>BX55/BX$3*2000</f>
        <v>8.771929825</v>
      </c>
      <c r="BZ55" s="7"/>
      <c r="CA55" s="1">
        <f>sum(BZ50:BZ54)</f>
        <v>2</v>
      </c>
      <c r="CB55" s="8">
        <f>CA55/CA$3*2000</f>
        <v>7.547169811</v>
      </c>
      <c r="CC55" s="7"/>
      <c r="CD55" s="1">
        <f>sum(CC50:CC54)</f>
        <v>1</v>
      </c>
      <c r="CE55" s="8">
        <f>CD55/CD$3*2000</f>
        <v>3.710575139</v>
      </c>
      <c r="CF55" s="2"/>
      <c r="CH55" s="1"/>
      <c r="CI55" s="1"/>
      <c r="CJ55" s="3">
        <v>4.0</v>
      </c>
      <c r="CK55" s="8">
        <f>CJ55/CJ$3*2000</f>
        <v>2.820874471</v>
      </c>
      <c r="CL55" s="6"/>
      <c r="CM55" s="1"/>
      <c r="CN55" s="1"/>
      <c r="CO55" s="1"/>
      <c r="CP55" s="3">
        <v>0.0</v>
      </c>
      <c r="CQ55" s="8">
        <f>CP55/CP$3*2000</f>
        <v>0</v>
      </c>
      <c r="CR55" s="6"/>
      <c r="CS55" s="15">
        <f>sum(CR50:CR54)</f>
        <v>0</v>
      </c>
      <c r="CT55" s="8">
        <f>CS55/CS$3*2000</f>
        <v>0</v>
      </c>
      <c r="CV55" s="1">
        <f>sum(CU50:CU54)</f>
        <v>0</v>
      </c>
      <c r="CW55" s="8">
        <f>CV55/CV$3*2000</f>
        <v>0</v>
      </c>
    </row>
    <row r="56">
      <c r="A56" s="42" t="s">
        <v>97</v>
      </c>
      <c r="C56" s="1"/>
      <c r="D56" s="4"/>
      <c r="E56" s="12">
        <v>2.0</v>
      </c>
      <c r="F56" s="1"/>
      <c r="G56" s="4"/>
      <c r="H56" s="12">
        <v>1.0</v>
      </c>
      <c r="I56" s="1"/>
      <c r="J56" s="4"/>
      <c r="K56" s="12">
        <v>2.0</v>
      </c>
      <c r="L56" s="1"/>
      <c r="M56" s="4"/>
      <c r="N56" s="7"/>
      <c r="O56" s="1"/>
      <c r="P56" s="4"/>
      <c r="Q56" s="1"/>
      <c r="R56" s="3">
        <v>2.0</v>
      </c>
      <c r="S56" s="1"/>
      <c r="T56" s="4"/>
      <c r="U56" s="12">
        <v>1.0</v>
      </c>
      <c r="V56" s="1"/>
      <c r="W56" s="4"/>
      <c r="X56" s="7"/>
      <c r="Y56" s="1"/>
      <c r="Z56" s="4"/>
      <c r="AA56" s="7"/>
      <c r="AB56" s="1"/>
      <c r="AC56" s="4"/>
      <c r="AE56" s="1"/>
      <c r="AF56" s="4"/>
      <c r="AG56" s="12">
        <v>3.0</v>
      </c>
      <c r="AH56" s="1"/>
      <c r="AI56" s="4"/>
      <c r="AK56" s="1"/>
      <c r="AL56" s="4"/>
      <c r="AN56" s="1"/>
      <c r="AO56" s="4"/>
      <c r="AP56" s="7">
        <v>0.0</v>
      </c>
      <c r="AQ56" s="1"/>
      <c r="AR56" s="4"/>
      <c r="AS56" s="7">
        <v>1.0</v>
      </c>
      <c r="AT56" s="1"/>
      <c r="AU56" s="4"/>
      <c r="AV56" s="1"/>
      <c r="AW56" s="1"/>
      <c r="AX56" s="4"/>
      <c r="AY56" s="1"/>
      <c r="AZ56" s="1"/>
      <c r="BA56" s="1"/>
      <c r="BB56" s="1"/>
      <c r="BC56" s="1"/>
      <c r="BD56" s="5"/>
      <c r="BE56" s="7"/>
      <c r="BF56" s="1"/>
      <c r="BG56" s="4"/>
      <c r="BH56" s="1"/>
      <c r="BI56" s="1"/>
      <c r="BJ56" s="1"/>
      <c r="BK56" s="1"/>
      <c r="BL56" s="1"/>
      <c r="BM56" s="4"/>
      <c r="BN56" s="7">
        <v>1.0</v>
      </c>
      <c r="BO56" s="1"/>
      <c r="BP56" s="4"/>
      <c r="BQ56" s="7">
        <v>0.0</v>
      </c>
      <c r="BR56" s="1"/>
      <c r="BS56" s="4"/>
      <c r="BT56" s="6"/>
      <c r="BU56" s="1"/>
      <c r="BV56" s="4"/>
      <c r="BW56" s="7">
        <v>1.0</v>
      </c>
      <c r="BX56" s="1"/>
      <c r="BY56" s="4"/>
      <c r="BZ56" s="7">
        <v>1.0</v>
      </c>
      <c r="CA56" s="1"/>
      <c r="CB56" s="4"/>
      <c r="CC56" s="7"/>
      <c r="CD56" s="1"/>
      <c r="CE56" s="4"/>
      <c r="CH56" s="1"/>
      <c r="CI56" s="1"/>
      <c r="CJ56" s="1"/>
      <c r="CK56" s="4"/>
      <c r="CL56" s="6"/>
      <c r="CM56" s="1"/>
      <c r="CN56" s="1"/>
      <c r="CO56" s="1"/>
      <c r="CP56" s="1"/>
      <c r="CQ56" s="4"/>
      <c r="CR56" s="6"/>
      <c r="CS56" s="1"/>
      <c r="CT56" s="4"/>
      <c r="CV56" s="1"/>
      <c r="CW56" s="4"/>
    </row>
    <row r="57">
      <c r="A57" s="42" t="s">
        <v>98</v>
      </c>
      <c r="B57" s="2">
        <v>13.0</v>
      </c>
      <c r="C57" s="1"/>
      <c r="D57" s="4"/>
      <c r="E57" s="12">
        <v>19.0</v>
      </c>
      <c r="F57" s="1"/>
      <c r="G57" s="4"/>
      <c r="H57" s="12">
        <v>2.0</v>
      </c>
      <c r="I57" s="1"/>
      <c r="J57" s="4"/>
      <c r="K57" s="12">
        <v>6.0</v>
      </c>
      <c r="L57" s="1"/>
      <c r="M57" s="4"/>
      <c r="N57" s="12">
        <v>7.0</v>
      </c>
      <c r="O57" s="1"/>
      <c r="P57" s="4"/>
      <c r="Q57" s="1"/>
      <c r="R57" s="1"/>
      <c r="S57" s="1"/>
      <c r="T57" s="4"/>
      <c r="U57" s="12">
        <v>7.0</v>
      </c>
      <c r="V57" s="1"/>
      <c r="W57" s="4"/>
      <c r="X57" s="12">
        <v>12.0</v>
      </c>
      <c r="Y57" s="1"/>
      <c r="Z57" s="4"/>
      <c r="AA57" s="12">
        <v>3.0</v>
      </c>
      <c r="AB57" s="1"/>
      <c r="AC57" s="4"/>
      <c r="AD57" s="2">
        <v>10.0</v>
      </c>
      <c r="AE57" s="1"/>
      <c r="AF57" s="4"/>
      <c r="AG57" s="12">
        <v>6.0</v>
      </c>
      <c r="AH57" s="1"/>
      <c r="AI57" s="4"/>
      <c r="AJ57" s="2">
        <v>2.0</v>
      </c>
      <c r="AK57" s="1"/>
      <c r="AL57" s="4"/>
      <c r="AN57" s="1"/>
      <c r="AO57" s="4"/>
      <c r="AP57" s="7">
        <v>22.0</v>
      </c>
      <c r="AQ57" s="1"/>
      <c r="AR57" s="4"/>
      <c r="AS57" s="7">
        <v>12.0</v>
      </c>
      <c r="AT57" s="1"/>
      <c r="AU57" s="4"/>
      <c r="AV57" s="3">
        <v>5.0</v>
      </c>
      <c r="AW57" s="1"/>
      <c r="AX57" s="4"/>
      <c r="AY57" s="1"/>
      <c r="AZ57" s="1"/>
      <c r="BA57" s="1"/>
      <c r="BB57" s="3">
        <v>1.0</v>
      </c>
      <c r="BC57" s="1"/>
      <c r="BD57" s="5"/>
      <c r="BE57" s="7"/>
      <c r="BF57" s="1"/>
      <c r="BG57" s="4"/>
      <c r="BH57" s="1"/>
      <c r="BI57" s="1"/>
      <c r="BJ57" s="1"/>
      <c r="BK57" s="1"/>
      <c r="BL57" s="1"/>
      <c r="BM57" s="4"/>
      <c r="BN57" s="7">
        <v>4.0</v>
      </c>
      <c r="BO57" s="1"/>
      <c r="BP57" s="4"/>
      <c r="BQ57" s="7">
        <v>8.0</v>
      </c>
      <c r="BR57" s="1"/>
      <c r="BS57" s="4"/>
      <c r="BT57" s="15"/>
      <c r="BU57" s="1"/>
      <c r="BV57" s="4"/>
      <c r="BW57" s="7">
        <v>6.0</v>
      </c>
      <c r="BX57" s="1"/>
      <c r="BY57" s="4"/>
      <c r="BZ57" s="7">
        <v>0.0</v>
      </c>
      <c r="CA57" s="1"/>
      <c r="CB57" s="4"/>
      <c r="CC57" s="7"/>
      <c r="CD57" s="1"/>
      <c r="CE57" s="4"/>
      <c r="CH57" s="1"/>
      <c r="CI57" s="1"/>
      <c r="CJ57" s="1"/>
      <c r="CK57" s="4"/>
      <c r="CL57" s="15"/>
      <c r="CM57" s="1"/>
      <c r="CN57" s="1"/>
      <c r="CO57" s="1"/>
      <c r="CP57" s="1"/>
      <c r="CQ57" s="4"/>
      <c r="CR57" s="15"/>
      <c r="CS57" s="1"/>
      <c r="CT57" s="4"/>
      <c r="CV57" s="1"/>
      <c r="CW57" s="4"/>
    </row>
    <row r="58">
      <c r="A58" s="43" t="s">
        <v>99</v>
      </c>
      <c r="B58" s="2">
        <v>4.0</v>
      </c>
      <c r="C58" s="1"/>
      <c r="D58" s="4"/>
      <c r="E58" s="12">
        <v>5.0</v>
      </c>
      <c r="F58" s="1"/>
      <c r="G58" s="4"/>
      <c r="H58" s="7"/>
      <c r="I58" s="1"/>
      <c r="J58" s="4"/>
      <c r="K58" s="12">
        <v>1.0</v>
      </c>
      <c r="L58" s="1"/>
      <c r="M58" s="4"/>
      <c r="N58" s="12"/>
      <c r="O58" s="1"/>
      <c r="P58" s="4"/>
      <c r="Q58" s="1"/>
      <c r="R58" s="1"/>
      <c r="S58" s="1"/>
      <c r="T58" s="4"/>
      <c r="U58" s="12">
        <v>1.0</v>
      </c>
      <c r="V58" s="1"/>
      <c r="W58" s="4"/>
      <c r="X58" s="12">
        <v>4.0</v>
      </c>
      <c r="Y58" s="1"/>
      <c r="Z58" s="4"/>
      <c r="AA58" s="7"/>
      <c r="AB58" s="1"/>
      <c r="AC58" s="4"/>
      <c r="AD58" s="2">
        <v>4.0</v>
      </c>
      <c r="AE58" s="1"/>
      <c r="AF58" s="4"/>
      <c r="AG58" s="12">
        <v>1.0</v>
      </c>
      <c r="AH58" s="1"/>
      <c r="AI58" s="4"/>
      <c r="AK58" s="1"/>
      <c r="AL58" s="4"/>
      <c r="AN58" s="1"/>
      <c r="AO58" s="4"/>
      <c r="AP58" s="7">
        <v>1.0</v>
      </c>
      <c r="AQ58" s="1"/>
      <c r="AR58" s="4"/>
      <c r="AS58" s="7">
        <v>3.0</v>
      </c>
      <c r="AT58" s="1"/>
      <c r="AU58" s="4"/>
      <c r="AV58" s="1"/>
      <c r="AW58" s="1"/>
      <c r="AX58" s="4"/>
      <c r="AY58" s="1"/>
      <c r="AZ58" s="1"/>
      <c r="BA58" s="1"/>
      <c r="BB58" s="1"/>
      <c r="BC58" s="1"/>
      <c r="BD58" s="5"/>
      <c r="BE58" s="7"/>
      <c r="BF58" s="1"/>
      <c r="BG58" s="4"/>
      <c r="BH58" s="1"/>
      <c r="BI58" s="1"/>
      <c r="BJ58" s="1"/>
      <c r="BK58" s="1"/>
      <c r="BL58" s="1"/>
      <c r="BM58" s="4"/>
      <c r="BN58" s="7">
        <v>3.0</v>
      </c>
      <c r="BO58" s="1"/>
      <c r="BP58" s="4"/>
      <c r="BQ58" s="7">
        <v>0.0</v>
      </c>
      <c r="BR58" s="1"/>
      <c r="BS58" s="4"/>
      <c r="BT58" s="15"/>
      <c r="BU58" s="1"/>
      <c r="BV58" s="4"/>
      <c r="BW58" s="7">
        <v>0.0</v>
      </c>
      <c r="BX58" s="1"/>
      <c r="BY58" s="4"/>
      <c r="BZ58" s="7">
        <v>0.0</v>
      </c>
      <c r="CA58" s="1"/>
      <c r="CB58" s="4"/>
      <c r="CC58" s="7"/>
      <c r="CD58" s="1"/>
      <c r="CE58" s="4"/>
      <c r="CH58" s="1"/>
      <c r="CI58" s="1"/>
      <c r="CJ58" s="1"/>
      <c r="CK58" s="4"/>
      <c r="CL58" s="15"/>
      <c r="CM58" s="1"/>
      <c r="CN58" s="1"/>
      <c r="CO58" s="1"/>
      <c r="CP58" s="1"/>
      <c r="CQ58" s="4"/>
      <c r="CR58" s="15"/>
      <c r="CS58" s="1"/>
      <c r="CT58" s="4"/>
      <c r="CV58" s="1"/>
      <c r="CW58" s="4"/>
    </row>
    <row r="59">
      <c r="A59" s="42" t="s">
        <v>100</v>
      </c>
      <c r="B59" s="2">
        <v>8.0</v>
      </c>
      <c r="C59" s="1"/>
      <c r="D59" s="8"/>
      <c r="E59" s="12">
        <v>2.0</v>
      </c>
      <c r="F59" s="1"/>
      <c r="G59" s="8"/>
      <c r="H59" s="12">
        <v>1.0</v>
      </c>
      <c r="I59" s="1"/>
      <c r="J59" s="8"/>
      <c r="K59" s="12">
        <v>1.0</v>
      </c>
      <c r="L59" s="1"/>
      <c r="M59" s="8"/>
      <c r="N59" s="12">
        <v>8.0</v>
      </c>
      <c r="O59" s="1"/>
      <c r="P59" s="8"/>
      <c r="Q59" s="3">
        <v>5.0</v>
      </c>
      <c r="R59" s="3">
        <v>2.0</v>
      </c>
      <c r="S59" s="1"/>
      <c r="T59" s="8"/>
      <c r="U59" s="12">
        <v>1.0</v>
      </c>
      <c r="V59" s="1"/>
      <c r="W59" s="8"/>
      <c r="X59" s="12">
        <v>7.0</v>
      </c>
      <c r="Y59" s="1"/>
      <c r="Z59" s="8"/>
      <c r="AA59" s="12">
        <v>26.0</v>
      </c>
      <c r="AB59" s="1"/>
      <c r="AC59" s="8"/>
      <c r="AD59" s="2">
        <v>2.0</v>
      </c>
      <c r="AE59" s="1"/>
      <c r="AF59" s="8"/>
      <c r="AG59" s="12">
        <v>5.0</v>
      </c>
      <c r="AH59" s="1"/>
      <c r="AI59" s="8"/>
      <c r="AJ59" s="2">
        <v>2.0</v>
      </c>
      <c r="AK59" s="1"/>
      <c r="AL59" s="8"/>
      <c r="AN59" s="1"/>
      <c r="AO59" s="8"/>
      <c r="AP59" s="7">
        <v>28.0</v>
      </c>
      <c r="AQ59" s="1"/>
      <c r="AR59" s="8"/>
      <c r="AS59" s="7">
        <v>13.0</v>
      </c>
      <c r="AT59" s="1"/>
      <c r="AU59" s="8"/>
      <c r="AV59" s="12">
        <v>58.0</v>
      </c>
      <c r="AW59" s="1"/>
      <c r="AX59" s="8"/>
      <c r="AY59" s="12"/>
      <c r="AZ59" s="12">
        <v>10.0</v>
      </c>
      <c r="BA59" s="7">
        <v>14.0</v>
      </c>
      <c r="BB59" s="12">
        <v>7.0</v>
      </c>
      <c r="BC59" s="1"/>
      <c r="BD59" s="9"/>
      <c r="BE59" s="12">
        <v>12.0</v>
      </c>
      <c r="BF59" s="1"/>
      <c r="BG59" s="8"/>
      <c r="BH59" s="3">
        <v>5.0</v>
      </c>
      <c r="BI59" s="3">
        <v>3.0</v>
      </c>
      <c r="BJ59" s="3">
        <v>4.0</v>
      </c>
      <c r="BK59" s="3">
        <v>8.0</v>
      </c>
      <c r="BL59" s="1"/>
      <c r="BM59" s="8"/>
      <c r="BN59" s="7">
        <v>10.0</v>
      </c>
      <c r="BO59" s="1"/>
      <c r="BP59" s="8"/>
      <c r="BQ59" s="7">
        <v>2.0</v>
      </c>
      <c r="BR59" s="1"/>
      <c r="BS59" s="8"/>
      <c r="BT59" s="10">
        <v>2.0</v>
      </c>
      <c r="BU59" s="1"/>
      <c r="BV59" s="8"/>
      <c r="BW59" s="7">
        <v>4.0</v>
      </c>
      <c r="BX59" s="1"/>
      <c r="BY59" s="8"/>
      <c r="BZ59" s="7">
        <v>1.0</v>
      </c>
      <c r="CA59" s="1"/>
      <c r="CB59" s="8"/>
      <c r="CC59" s="12">
        <v>1.0</v>
      </c>
      <c r="CD59" s="1"/>
      <c r="CE59" s="8"/>
      <c r="CG59" s="2">
        <v>1.0</v>
      </c>
      <c r="CH59" s="1"/>
      <c r="CI59" s="3">
        <v>2.0</v>
      </c>
      <c r="CJ59" s="1"/>
      <c r="CK59" s="8"/>
      <c r="CL59" s="11"/>
      <c r="CM59" s="1"/>
      <c r="CN59" s="1"/>
      <c r="CO59" s="1"/>
      <c r="CP59" s="1"/>
      <c r="CQ59" s="8"/>
      <c r="CR59" s="10">
        <v>1.0</v>
      </c>
      <c r="CS59" s="1"/>
      <c r="CT59" s="8"/>
      <c r="CV59" s="1"/>
      <c r="CW59" s="8"/>
    </row>
    <row r="60">
      <c r="A60" s="43" t="s">
        <v>101</v>
      </c>
      <c r="B60" s="2">
        <v>7.0</v>
      </c>
      <c r="C60" s="1"/>
      <c r="D60" s="4"/>
      <c r="E60" s="12">
        <v>3.0</v>
      </c>
      <c r="F60" s="1"/>
      <c r="G60" s="4"/>
      <c r="H60" s="12">
        <v>9.0</v>
      </c>
      <c r="I60" s="1"/>
      <c r="J60" s="4"/>
      <c r="K60" s="12">
        <v>7.0</v>
      </c>
      <c r="L60" s="1"/>
      <c r="M60" s="4"/>
      <c r="N60" s="12">
        <v>1.0</v>
      </c>
      <c r="O60" s="1"/>
      <c r="P60" s="4"/>
      <c r="Q60" s="1"/>
      <c r="R60" s="1"/>
      <c r="S60" s="1"/>
      <c r="T60" s="4"/>
      <c r="U60" s="12">
        <v>7.0</v>
      </c>
      <c r="V60" s="1"/>
      <c r="W60" s="4"/>
      <c r="X60" s="12">
        <v>3.0</v>
      </c>
      <c r="Y60" s="1"/>
      <c r="Z60" s="4"/>
      <c r="AA60" s="7"/>
      <c r="AB60" s="1"/>
      <c r="AC60" s="4"/>
      <c r="AD60" s="2">
        <v>4.0</v>
      </c>
      <c r="AE60" s="1"/>
      <c r="AF60" s="4"/>
      <c r="AG60" s="12">
        <v>3.0</v>
      </c>
      <c r="AH60" s="1"/>
      <c r="AI60" s="4"/>
      <c r="AJ60" s="2">
        <v>1.0</v>
      </c>
      <c r="AK60" s="1"/>
      <c r="AL60" s="4"/>
      <c r="AN60" s="1"/>
      <c r="AO60" s="4"/>
      <c r="AP60" s="7">
        <v>2.0</v>
      </c>
      <c r="AQ60" s="1"/>
      <c r="AR60" s="4"/>
      <c r="AS60" s="7">
        <v>2.0</v>
      </c>
      <c r="AT60" s="1"/>
      <c r="AU60" s="4"/>
      <c r="AV60" s="3">
        <v>1.0</v>
      </c>
      <c r="AW60" s="1"/>
      <c r="AX60" s="4"/>
      <c r="AY60" s="1"/>
      <c r="AZ60" s="1"/>
      <c r="BA60" s="1"/>
      <c r="BB60" s="1"/>
      <c r="BC60" s="1"/>
      <c r="BD60" s="5"/>
      <c r="BE60" s="12">
        <v>1.0</v>
      </c>
      <c r="BF60" s="1"/>
      <c r="BG60" s="4"/>
      <c r="BH60" s="1"/>
      <c r="BI60" s="1"/>
      <c r="BJ60" s="1"/>
      <c r="BK60" s="1"/>
      <c r="BL60" s="1"/>
      <c r="BM60" s="4"/>
      <c r="BN60" s="7">
        <v>1.0</v>
      </c>
      <c r="BO60" s="1"/>
      <c r="BP60" s="4"/>
      <c r="BQ60" s="7">
        <v>1.0</v>
      </c>
      <c r="BR60" s="1"/>
      <c r="BS60" s="4"/>
      <c r="BT60" s="6"/>
      <c r="BU60" s="1"/>
      <c r="BV60" s="4"/>
      <c r="BW60" s="7">
        <v>1.0</v>
      </c>
      <c r="BX60" s="1"/>
      <c r="BY60" s="4"/>
      <c r="BZ60" s="7">
        <v>0.0</v>
      </c>
      <c r="CA60" s="1"/>
      <c r="CB60" s="4"/>
      <c r="CC60" s="7"/>
      <c r="CD60" s="1"/>
      <c r="CE60" s="4"/>
      <c r="CH60" s="1"/>
      <c r="CI60" s="1"/>
      <c r="CJ60" s="1"/>
      <c r="CK60" s="4"/>
      <c r="CL60" s="6"/>
      <c r="CM60" s="1"/>
      <c r="CN60" s="1"/>
      <c r="CO60" s="1"/>
      <c r="CP60" s="1"/>
      <c r="CQ60" s="4"/>
      <c r="CR60" s="6"/>
      <c r="CS60" s="1"/>
      <c r="CT60" s="4"/>
      <c r="CV60" s="1"/>
      <c r="CW60" s="4"/>
    </row>
    <row r="61">
      <c r="A61" s="44" t="s">
        <v>102</v>
      </c>
      <c r="C61" s="45"/>
      <c r="D61" s="4"/>
      <c r="E61" s="12">
        <v>1.0</v>
      </c>
      <c r="F61" s="45"/>
      <c r="G61" s="4"/>
      <c r="H61" s="12">
        <v>1.0</v>
      </c>
      <c r="I61" s="45"/>
      <c r="J61" s="4"/>
      <c r="K61" s="7"/>
      <c r="L61" s="45"/>
      <c r="M61" s="4"/>
      <c r="N61" s="12"/>
      <c r="O61" s="45"/>
      <c r="P61" s="4"/>
      <c r="Q61" s="3">
        <v>5.0</v>
      </c>
      <c r="R61" s="3">
        <v>6.0</v>
      </c>
      <c r="S61" s="45"/>
      <c r="T61" s="4"/>
      <c r="U61" s="12"/>
      <c r="V61" s="45"/>
      <c r="W61" s="4"/>
      <c r="X61" s="12">
        <v>1.0</v>
      </c>
      <c r="Y61" s="45"/>
      <c r="Z61" s="4"/>
      <c r="AA61" s="12">
        <v>2.0</v>
      </c>
      <c r="AB61" s="45"/>
      <c r="AC61" s="4"/>
      <c r="AE61" s="45"/>
      <c r="AF61" s="4"/>
      <c r="AG61" s="7"/>
      <c r="AH61" s="45"/>
      <c r="AI61" s="4"/>
      <c r="AK61" s="45"/>
      <c r="AL61" s="4"/>
      <c r="AN61" s="45"/>
      <c r="AO61" s="4"/>
      <c r="AP61" s="7">
        <v>3.0</v>
      </c>
      <c r="AQ61" s="45"/>
      <c r="AR61" s="4"/>
      <c r="AS61" s="7">
        <v>1.0</v>
      </c>
      <c r="AT61" s="45"/>
      <c r="AU61" s="4"/>
      <c r="AV61" s="3">
        <v>10.0</v>
      </c>
      <c r="AW61" s="45"/>
      <c r="AX61" s="4"/>
      <c r="AY61" s="1"/>
      <c r="AZ61" s="1"/>
      <c r="BA61" s="1"/>
      <c r="BB61" s="3">
        <v>6.0</v>
      </c>
      <c r="BC61" s="45"/>
      <c r="BD61" s="5"/>
      <c r="BE61" s="12">
        <v>2.0</v>
      </c>
      <c r="BF61" s="45"/>
      <c r="BG61" s="4"/>
      <c r="BH61" s="3">
        <v>3.0</v>
      </c>
      <c r="BI61" s="3">
        <v>1.0</v>
      </c>
      <c r="BJ61" s="3">
        <v>2.0</v>
      </c>
      <c r="BK61" s="3">
        <v>1.0</v>
      </c>
      <c r="BL61" s="45"/>
      <c r="BM61" s="4"/>
      <c r="BN61" s="7">
        <v>0.0</v>
      </c>
      <c r="BO61" s="45"/>
      <c r="BP61" s="4"/>
      <c r="BQ61" s="7">
        <v>0.0</v>
      </c>
      <c r="BR61" s="45"/>
      <c r="BS61" s="4"/>
      <c r="BT61" s="6">
        <v>1.0</v>
      </c>
      <c r="BU61" s="45"/>
      <c r="BV61" s="4"/>
      <c r="BW61" s="7">
        <v>2.0</v>
      </c>
      <c r="BX61" s="45"/>
      <c r="BY61" s="4"/>
      <c r="BZ61" s="7">
        <v>0.0</v>
      </c>
      <c r="CA61" s="45"/>
      <c r="CB61" s="4"/>
      <c r="CC61" s="12">
        <v>1.0</v>
      </c>
      <c r="CD61" s="45"/>
      <c r="CE61" s="4"/>
      <c r="CF61" s="2">
        <v>1.0</v>
      </c>
      <c r="CH61" s="3">
        <v>1.0</v>
      </c>
      <c r="CI61" s="1"/>
      <c r="CJ61" s="45"/>
      <c r="CK61" s="4"/>
      <c r="CL61" s="15"/>
      <c r="CM61" s="45"/>
      <c r="CN61" s="45"/>
      <c r="CO61" s="45"/>
      <c r="CP61" s="45"/>
      <c r="CQ61" s="4"/>
      <c r="CR61" s="6">
        <v>1.0</v>
      </c>
      <c r="CS61" s="45"/>
      <c r="CT61" s="4"/>
      <c r="CV61" s="45"/>
      <c r="CW61" s="4"/>
    </row>
    <row r="62">
      <c r="A62" s="42" t="s">
        <v>103</v>
      </c>
      <c r="C62" s="1"/>
      <c r="D62" s="8"/>
      <c r="E62" s="7"/>
      <c r="F62" s="1"/>
      <c r="G62" s="8"/>
      <c r="H62" s="12">
        <v>1.0</v>
      </c>
      <c r="I62" s="1"/>
      <c r="J62" s="8"/>
      <c r="K62" s="12">
        <v>1.0</v>
      </c>
      <c r="L62" s="1"/>
      <c r="M62" s="8"/>
      <c r="N62" s="12"/>
      <c r="O62" s="1"/>
      <c r="P62" s="8"/>
      <c r="Q62" s="1"/>
      <c r="R62" s="1"/>
      <c r="S62" s="1"/>
      <c r="T62" s="8"/>
      <c r="U62" s="12">
        <v>2.0</v>
      </c>
      <c r="V62" s="1"/>
      <c r="W62" s="8"/>
      <c r="X62" s="12"/>
      <c r="Y62" s="1"/>
      <c r="Z62" s="8"/>
      <c r="AA62" s="12">
        <v>9.0</v>
      </c>
      <c r="AB62" s="1"/>
      <c r="AC62" s="8"/>
      <c r="AE62" s="1"/>
      <c r="AF62" s="8"/>
      <c r="AG62" s="12">
        <v>3.0</v>
      </c>
      <c r="AH62" s="1"/>
      <c r="AI62" s="8"/>
      <c r="AK62" s="1"/>
      <c r="AL62" s="8"/>
      <c r="AN62" s="1"/>
      <c r="AO62" s="8"/>
      <c r="AP62" s="7">
        <v>10.0</v>
      </c>
      <c r="AQ62" s="1"/>
      <c r="AR62" s="8"/>
      <c r="AS62" s="7">
        <v>2.0</v>
      </c>
      <c r="AT62" s="1"/>
      <c r="AU62" s="8"/>
      <c r="AV62" s="12">
        <v>26.0</v>
      </c>
      <c r="AW62" s="1"/>
      <c r="AX62" s="8"/>
      <c r="AY62" s="7"/>
      <c r="AZ62" s="7"/>
      <c r="BA62" s="7">
        <v>6.0</v>
      </c>
      <c r="BB62" s="7"/>
      <c r="BC62" s="1"/>
      <c r="BD62" s="9"/>
      <c r="BE62" s="12">
        <v>3.0</v>
      </c>
      <c r="BF62" s="1"/>
      <c r="BG62" s="8"/>
      <c r="BH62" s="3">
        <v>2.0</v>
      </c>
      <c r="BI62" s="3">
        <v>4.0</v>
      </c>
      <c r="BJ62" s="3">
        <v>7.0</v>
      </c>
      <c r="BK62" s="3">
        <v>2.0</v>
      </c>
      <c r="BL62" s="1"/>
      <c r="BM62" s="8"/>
      <c r="BN62" s="7">
        <v>4.0</v>
      </c>
      <c r="BO62" s="1"/>
      <c r="BP62" s="8"/>
      <c r="BQ62" s="7">
        <v>2.0</v>
      </c>
      <c r="BR62" s="1"/>
      <c r="BS62" s="8"/>
      <c r="BT62" s="11"/>
      <c r="BU62" s="1"/>
      <c r="BV62" s="8"/>
      <c r="BW62" s="7">
        <v>1.0</v>
      </c>
      <c r="BX62" s="1"/>
      <c r="BY62" s="8"/>
      <c r="BZ62" s="7">
        <v>1.0</v>
      </c>
      <c r="CA62" s="1"/>
      <c r="CB62" s="8"/>
      <c r="CC62" s="12">
        <v>1.0</v>
      </c>
      <c r="CD62" s="1"/>
      <c r="CE62" s="8"/>
      <c r="CF62" s="2">
        <v>2.0</v>
      </c>
      <c r="CG62" s="2">
        <v>2.0</v>
      </c>
      <c r="CH62" s="1"/>
      <c r="CI62" s="3">
        <v>4.0</v>
      </c>
      <c r="CJ62" s="1"/>
      <c r="CK62" s="8"/>
      <c r="CL62" s="11"/>
      <c r="CM62" s="1"/>
      <c r="CN62" s="1"/>
      <c r="CO62" s="1"/>
      <c r="CP62" s="1"/>
      <c r="CQ62" s="8"/>
      <c r="CR62" s="10">
        <v>2.0</v>
      </c>
      <c r="CS62" s="1"/>
      <c r="CT62" s="8"/>
      <c r="CU62" s="2">
        <v>1.0</v>
      </c>
      <c r="CV62" s="1"/>
      <c r="CW62" s="8"/>
    </row>
    <row r="63">
      <c r="A63" s="43" t="s">
        <v>104</v>
      </c>
      <c r="B63" s="2">
        <v>11.0</v>
      </c>
      <c r="C63" s="1"/>
      <c r="D63" s="4"/>
      <c r="E63" s="12">
        <v>5.0</v>
      </c>
      <c r="F63" s="1"/>
      <c r="G63" s="4"/>
      <c r="H63" s="7"/>
      <c r="I63" s="1"/>
      <c r="J63" s="4"/>
      <c r="K63" s="12">
        <v>5.0</v>
      </c>
      <c r="L63" s="1"/>
      <c r="M63" s="4"/>
      <c r="N63" s="12">
        <v>4.0</v>
      </c>
      <c r="O63" s="1"/>
      <c r="P63" s="4"/>
      <c r="Q63" s="1"/>
      <c r="R63" s="1"/>
      <c r="S63" s="1"/>
      <c r="T63" s="4"/>
      <c r="U63" s="12">
        <v>11.0</v>
      </c>
      <c r="V63" s="1"/>
      <c r="W63" s="4"/>
      <c r="X63" s="12">
        <v>2.0</v>
      </c>
      <c r="Y63" s="1"/>
      <c r="Z63" s="4"/>
      <c r="AA63" s="12">
        <v>1.0</v>
      </c>
      <c r="AB63" s="1"/>
      <c r="AC63" s="4"/>
      <c r="AD63" s="2">
        <v>2.0</v>
      </c>
      <c r="AE63" s="1"/>
      <c r="AF63" s="4"/>
      <c r="AG63" s="7"/>
      <c r="AH63" s="1"/>
      <c r="AI63" s="4"/>
      <c r="AK63" s="1"/>
      <c r="AL63" s="4"/>
      <c r="AN63" s="1"/>
      <c r="AO63" s="4"/>
      <c r="AP63" s="7">
        <v>3.0</v>
      </c>
      <c r="AQ63" s="1"/>
      <c r="AR63" s="4"/>
      <c r="AS63" s="7">
        <v>4.0</v>
      </c>
      <c r="AT63" s="1"/>
      <c r="AU63" s="4"/>
      <c r="AV63" s="3">
        <v>2.0</v>
      </c>
      <c r="AW63" s="1"/>
      <c r="AX63" s="4"/>
      <c r="AY63" s="1"/>
      <c r="AZ63" s="1"/>
      <c r="BA63" s="1"/>
      <c r="BB63" s="1"/>
      <c r="BC63" s="1"/>
      <c r="BD63" s="5"/>
      <c r="BE63" s="7"/>
      <c r="BF63" s="1"/>
      <c r="BG63" s="4"/>
      <c r="BH63" s="1"/>
      <c r="BI63" s="1"/>
      <c r="BJ63" s="3">
        <v>1.0</v>
      </c>
      <c r="BK63" s="1"/>
      <c r="BL63" s="1"/>
      <c r="BM63" s="4"/>
      <c r="BN63" s="7">
        <v>3.0</v>
      </c>
      <c r="BO63" s="1"/>
      <c r="BP63" s="4"/>
      <c r="BQ63" s="7">
        <v>1.0</v>
      </c>
      <c r="BR63" s="1"/>
      <c r="BS63" s="4"/>
      <c r="BT63" s="6"/>
      <c r="BU63" s="1"/>
      <c r="BV63" s="4"/>
      <c r="BW63" s="7">
        <v>1.0</v>
      </c>
      <c r="BX63" s="1"/>
      <c r="BY63" s="4"/>
      <c r="BZ63" s="7">
        <v>2.0</v>
      </c>
      <c r="CA63" s="1"/>
      <c r="CB63" s="4"/>
      <c r="CC63" s="7"/>
      <c r="CD63" s="1"/>
      <c r="CE63" s="4"/>
      <c r="CH63" s="1"/>
      <c r="CI63" s="1"/>
      <c r="CJ63" s="1"/>
      <c r="CK63" s="4"/>
      <c r="CL63" s="6"/>
      <c r="CM63" s="1"/>
      <c r="CN63" s="1"/>
      <c r="CO63" s="1"/>
      <c r="CP63" s="1"/>
      <c r="CQ63" s="4"/>
      <c r="CR63" s="6">
        <v>1.0</v>
      </c>
      <c r="CS63" s="1"/>
      <c r="CT63" s="4"/>
      <c r="CV63" s="1"/>
      <c r="CW63" s="4"/>
    </row>
    <row r="64">
      <c r="A64" s="46" t="s">
        <v>105</v>
      </c>
      <c r="B64" s="2">
        <v>9.0</v>
      </c>
      <c r="C64" s="1"/>
      <c r="D64" s="4"/>
      <c r="E64" s="12">
        <v>8.0</v>
      </c>
      <c r="F64" s="1"/>
      <c r="G64" s="4"/>
      <c r="H64" s="12">
        <v>3.0</v>
      </c>
      <c r="I64" s="1"/>
      <c r="J64" s="4"/>
      <c r="K64" s="12">
        <v>4.0</v>
      </c>
      <c r="L64" s="1"/>
      <c r="M64" s="4"/>
      <c r="N64" s="12">
        <v>3.0</v>
      </c>
      <c r="O64" s="1"/>
      <c r="P64" s="4"/>
      <c r="Q64" s="1"/>
      <c r="R64" s="1"/>
      <c r="S64" s="1"/>
      <c r="T64" s="4"/>
      <c r="U64" s="12">
        <v>9.0</v>
      </c>
      <c r="V64" s="1"/>
      <c r="W64" s="4"/>
      <c r="X64" s="12">
        <v>2.0</v>
      </c>
      <c r="Y64" s="1"/>
      <c r="Z64" s="4"/>
      <c r="AA64" s="12">
        <v>1.0</v>
      </c>
      <c r="AB64" s="1"/>
      <c r="AC64" s="4"/>
      <c r="AD64" s="2">
        <v>7.0</v>
      </c>
      <c r="AE64" s="1"/>
      <c r="AF64" s="4"/>
      <c r="AG64" s="7"/>
      <c r="AH64" s="1"/>
      <c r="AI64" s="4"/>
      <c r="AK64" s="1"/>
      <c r="AL64" s="4"/>
      <c r="AN64" s="1"/>
      <c r="AO64" s="4"/>
      <c r="AP64" s="7">
        <v>0.0</v>
      </c>
      <c r="AQ64" s="1"/>
      <c r="AR64" s="4"/>
      <c r="AS64" s="7">
        <v>2.0</v>
      </c>
      <c r="AT64" s="1"/>
      <c r="AU64" s="4"/>
      <c r="AV64" s="1"/>
      <c r="AW64" s="1"/>
      <c r="AX64" s="4"/>
      <c r="AY64" s="1"/>
      <c r="AZ64" s="1"/>
      <c r="BA64" s="1"/>
      <c r="BB64" s="1"/>
      <c r="BC64" s="1"/>
      <c r="BD64" s="5"/>
      <c r="BE64" s="7"/>
      <c r="BF64" s="1"/>
      <c r="BG64" s="4"/>
      <c r="BH64" s="1"/>
      <c r="BI64" s="1"/>
      <c r="BJ64" s="1"/>
      <c r="BK64" s="1"/>
      <c r="BL64" s="1"/>
      <c r="BM64" s="4"/>
      <c r="BN64" s="7">
        <v>1.0</v>
      </c>
      <c r="BO64" s="1"/>
      <c r="BP64" s="4"/>
      <c r="BQ64" s="7">
        <v>5.0</v>
      </c>
      <c r="BR64" s="1"/>
      <c r="BS64" s="4"/>
      <c r="BT64" s="15"/>
      <c r="BU64" s="1"/>
      <c r="BV64" s="4"/>
      <c r="BW64" s="7">
        <v>0.0</v>
      </c>
      <c r="BX64" s="1"/>
      <c r="BY64" s="4"/>
      <c r="BZ64" s="7">
        <v>1.0</v>
      </c>
      <c r="CA64" s="1"/>
      <c r="CB64" s="4"/>
      <c r="CC64" s="7"/>
      <c r="CD64" s="1"/>
      <c r="CE64" s="4"/>
      <c r="CH64" s="1"/>
      <c r="CI64" s="1"/>
      <c r="CJ64" s="1"/>
      <c r="CK64" s="4"/>
      <c r="CL64" s="15"/>
      <c r="CM64" s="1"/>
      <c r="CN64" s="1"/>
      <c r="CO64" s="1"/>
      <c r="CP64" s="1"/>
      <c r="CQ64" s="4"/>
      <c r="CR64" s="15"/>
      <c r="CS64" s="1"/>
      <c r="CT64" s="4"/>
      <c r="CV64" s="1"/>
      <c r="CW64" s="4"/>
    </row>
    <row r="65">
      <c r="A65" s="46" t="s">
        <v>106</v>
      </c>
      <c r="C65" s="1"/>
      <c r="D65" s="4"/>
      <c r="E65" s="7"/>
      <c r="F65" s="1"/>
      <c r="G65" s="4"/>
      <c r="H65" s="12">
        <v>3.0</v>
      </c>
      <c r="I65" s="1"/>
      <c r="J65" s="4"/>
      <c r="K65" s="7"/>
      <c r="L65" s="1"/>
      <c r="M65" s="4"/>
      <c r="N65" s="7"/>
      <c r="O65" s="1"/>
      <c r="P65" s="4"/>
      <c r="Q65" s="1"/>
      <c r="R65" s="1"/>
      <c r="S65" s="1"/>
      <c r="T65" s="4"/>
      <c r="U65" s="7"/>
      <c r="V65" s="1"/>
      <c r="W65" s="4"/>
      <c r="X65" s="7"/>
      <c r="Y65" s="1"/>
      <c r="Z65" s="4"/>
      <c r="AA65" s="7"/>
      <c r="AB65" s="1"/>
      <c r="AC65" s="4"/>
      <c r="AE65" s="1"/>
      <c r="AF65" s="4"/>
      <c r="AG65" s="12">
        <v>1.0</v>
      </c>
      <c r="AH65" s="1"/>
      <c r="AI65" s="4"/>
      <c r="AK65" s="1"/>
      <c r="AL65" s="4"/>
      <c r="AN65" s="1"/>
      <c r="AO65" s="4"/>
      <c r="AP65" s="7">
        <v>0.0</v>
      </c>
      <c r="AQ65" s="1"/>
      <c r="AR65" s="4"/>
      <c r="AS65" s="7">
        <v>0.0</v>
      </c>
      <c r="AT65" s="1"/>
      <c r="AU65" s="4"/>
      <c r="AV65" s="1"/>
      <c r="AW65" s="1"/>
      <c r="AX65" s="4"/>
      <c r="AY65" s="1"/>
      <c r="AZ65" s="1"/>
      <c r="BA65" s="1"/>
      <c r="BB65" s="1"/>
      <c r="BC65" s="1"/>
      <c r="BD65" s="5"/>
      <c r="BE65" s="7"/>
      <c r="BF65" s="1"/>
      <c r="BG65" s="4"/>
      <c r="BH65" s="1"/>
      <c r="BI65" s="1"/>
      <c r="BJ65" s="1"/>
      <c r="BK65" s="1"/>
      <c r="BL65" s="1"/>
      <c r="BM65" s="4"/>
      <c r="BN65" s="7">
        <v>0.0</v>
      </c>
      <c r="BO65" s="1"/>
      <c r="BP65" s="4"/>
      <c r="BQ65" s="7">
        <v>1.0</v>
      </c>
      <c r="BR65" s="1"/>
      <c r="BS65" s="4"/>
      <c r="BT65" s="15"/>
      <c r="BU65" s="1"/>
      <c r="BV65" s="4"/>
      <c r="BW65" s="7">
        <v>0.0</v>
      </c>
      <c r="BX65" s="1"/>
      <c r="BY65" s="4"/>
      <c r="BZ65" s="7">
        <v>0.0</v>
      </c>
      <c r="CA65" s="1"/>
      <c r="CB65" s="4"/>
      <c r="CC65" s="7"/>
      <c r="CD65" s="1"/>
      <c r="CE65" s="4"/>
      <c r="CH65" s="1"/>
      <c r="CI65" s="1"/>
      <c r="CJ65" s="1"/>
      <c r="CK65" s="4"/>
      <c r="CL65" s="15"/>
      <c r="CM65" s="1"/>
      <c r="CN65" s="1"/>
      <c r="CO65" s="1"/>
      <c r="CP65" s="1"/>
      <c r="CQ65" s="4"/>
      <c r="CR65" s="15"/>
      <c r="CS65" s="1"/>
      <c r="CT65" s="4"/>
      <c r="CV65" s="1"/>
      <c r="CW65" s="4"/>
    </row>
    <row r="66">
      <c r="A66" s="46" t="s">
        <v>107</v>
      </c>
      <c r="C66" s="1"/>
      <c r="D66" s="4"/>
      <c r="E66" s="12">
        <v>3.0</v>
      </c>
      <c r="F66" s="1"/>
      <c r="G66" s="4"/>
      <c r="H66" s="7"/>
      <c r="I66" s="1"/>
      <c r="J66" s="4"/>
      <c r="K66" s="12">
        <v>3.0</v>
      </c>
      <c r="L66" s="1"/>
      <c r="M66" s="4"/>
      <c r="N66" s="12">
        <v>2.0</v>
      </c>
      <c r="O66" s="1"/>
      <c r="P66" s="4"/>
      <c r="Q66" s="1"/>
      <c r="R66" s="1"/>
      <c r="S66" s="1"/>
      <c r="T66" s="4"/>
      <c r="U66" s="12">
        <v>2.0</v>
      </c>
      <c r="V66" s="1"/>
      <c r="W66" s="4"/>
      <c r="X66" s="12">
        <v>3.0</v>
      </c>
      <c r="Y66" s="1"/>
      <c r="Z66" s="4"/>
      <c r="AA66" s="12">
        <v>1.0</v>
      </c>
      <c r="AB66" s="1"/>
      <c r="AC66" s="4"/>
      <c r="AD66" s="2">
        <v>1.0</v>
      </c>
      <c r="AE66" s="1"/>
      <c r="AF66" s="4"/>
      <c r="AG66" s="7"/>
      <c r="AH66" s="1"/>
      <c r="AI66" s="4"/>
      <c r="AK66" s="1"/>
      <c r="AL66" s="4"/>
      <c r="AM66" s="2">
        <v>1.0</v>
      </c>
      <c r="AN66" s="1"/>
      <c r="AO66" s="4"/>
      <c r="AP66" s="7">
        <v>4.0</v>
      </c>
      <c r="AQ66" s="1"/>
      <c r="AR66" s="4"/>
      <c r="AS66" s="7">
        <v>2.0</v>
      </c>
      <c r="AT66" s="1"/>
      <c r="AU66" s="4"/>
      <c r="AV66" s="3">
        <v>1.0</v>
      </c>
      <c r="AW66" s="1"/>
      <c r="AX66" s="4"/>
      <c r="AY66" s="1"/>
      <c r="AZ66" s="1"/>
      <c r="BA66" s="1"/>
      <c r="BB66" s="1"/>
      <c r="BC66" s="1"/>
      <c r="BD66" s="5"/>
      <c r="BE66" s="7"/>
      <c r="BF66" s="1"/>
      <c r="BG66" s="4"/>
      <c r="BH66" s="1"/>
      <c r="BI66" s="1"/>
      <c r="BJ66" s="1"/>
      <c r="BK66" s="3">
        <v>1.0</v>
      </c>
      <c r="BL66" s="1"/>
      <c r="BM66" s="4"/>
      <c r="BN66" s="7">
        <v>1.0</v>
      </c>
      <c r="BO66" s="1"/>
      <c r="BP66" s="4"/>
      <c r="BQ66" s="7">
        <v>2.0</v>
      </c>
      <c r="BR66" s="1"/>
      <c r="BS66" s="4"/>
      <c r="BT66" s="15"/>
      <c r="BU66" s="1"/>
      <c r="BV66" s="4"/>
      <c r="BW66" s="7">
        <v>2.0</v>
      </c>
      <c r="BX66" s="1"/>
      <c r="BY66" s="4"/>
      <c r="BZ66" s="7">
        <v>0.0</v>
      </c>
      <c r="CA66" s="1"/>
      <c r="CB66" s="4"/>
      <c r="CC66" s="7"/>
      <c r="CD66" s="1"/>
      <c r="CE66" s="4"/>
      <c r="CH66" s="1"/>
      <c r="CI66" s="3">
        <v>1.0</v>
      </c>
      <c r="CJ66" s="1"/>
      <c r="CK66" s="4"/>
      <c r="CL66" s="15"/>
      <c r="CM66" s="1"/>
      <c r="CN66" s="1"/>
      <c r="CO66" s="3">
        <v>1.0</v>
      </c>
      <c r="CP66" s="1"/>
      <c r="CQ66" s="4"/>
      <c r="CR66" s="6">
        <v>2.0</v>
      </c>
      <c r="CS66" s="1"/>
      <c r="CT66" s="4"/>
      <c r="CV66" s="1"/>
      <c r="CW66" s="4"/>
    </row>
    <row r="67">
      <c r="A67" s="46" t="s">
        <v>108</v>
      </c>
      <c r="C67" s="1"/>
      <c r="D67" s="4"/>
      <c r="E67" s="7"/>
      <c r="F67" s="1"/>
      <c r="G67" s="4"/>
      <c r="H67" s="12">
        <v>2.0</v>
      </c>
      <c r="I67" s="1"/>
      <c r="J67" s="4"/>
      <c r="K67" s="12">
        <v>4.0</v>
      </c>
      <c r="L67" s="1"/>
      <c r="M67" s="4"/>
      <c r="N67" s="12">
        <v>1.0</v>
      </c>
      <c r="O67" s="1"/>
      <c r="P67" s="4"/>
      <c r="Q67" s="1"/>
      <c r="R67" s="1"/>
      <c r="S67" s="1"/>
      <c r="T67" s="4"/>
      <c r="U67" s="12">
        <v>2.0</v>
      </c>
      <c r="V67" s="1"/>
      <c r="W67" s="4"/>
      <c r="X67" s="12">
        <v>3.0</v>
      </c>
      <c r="Y67" s="1"/>
      <c r="Z67" s="4"/>
      <c r="AA67" s="12">
        <v>1.0</v>
      </c>
      <c r="AB67" s="1"/>
      <c r="AC67" s="4"/>
      <c r="AD67" s="2">
        <v>4.0</v>
      </c>
      <c r="AE67" s="1"/>
      <c r="AF67" s="4"/>
      <c r="AG67" s="12">
        <v>1.0</v>
      </c>
      <c r="AH67" s="1"/>
      <c r="AI67" s="4"/>
      <c r="AK67" s="1"/>
      <c r="AL67" s="4"/>
      <c r="AN67" s="1"/>
      <c r="AO67" s="4"/>
      <c r="AP67" s="7">
        <v>2.0</v>
      </c>
      <c r="AQ67" s="1"/>
      <c r="AR67" s="4"/>
      <c r="AS67" s="7">
        <v>8.0</v>
      </c>
      <c r="AT67" s="1"/>
      <c r="AU67" s="4"/>
      <c r="AV67" s="1"/>
      <c r="AW67" s="1"/>
      <c r="AX67" s="4"/>
      <c r="AY67" s="1"/>
      <c r="AZ67" s="1"/>
      <c r="BA67" s="1"/>
      <c r="BB67" s="1"/>
      <c r="BC67" s="1"/>
      <c r="BD67" s="5"/>
      <c r="BE67" s="7"/>
      <c r="BF67" s="1"/>
      <c r="BG67" s="4"/>
      <c r="BH67" s="1"/>
      <c r="BI67" s="1"/>
      <c r="BJ67" s="1"/>
      <c r="BK67" s="3">
        <v>1.0</v>
      </c>
      <c r="BL67" s="1"/>
      <c r="BM67" s="4"/>
      <c r="BN67" s="7">
        <v>1.0</v>
      </c>
      <c r="BO67" s="1"/>
      <c r="BP67" s="4"/>
      <c r="BQ67" s="7">
        <v>1.0</v>
      </c>
      <c r="BR67" s="1"/>
      <c r="BS67" s="4"/>
      <c r="BT67" s="15"/>
      <c r="BU67" s="1"/>
      <c r="BV67" s="4"/>
      <c r="BW67" s="7">
        <v>1.0</v>
      </c>
      <c r="BX67" s="1"/>
      <c r="BY67" s="4"/>
      <c r="BZ67" s="7">
        <v>0.0</v>
      </c>
      <c r="CA67" s="1"/>
      <c r="CB67" s="4"/>
      <c r="CC67" s="12">
        <v>1.0</v>
      </c>
      <c r="CD67" s="1"/>
      <c r="CE67" s="4"/>
      <c r="CH67" s="1"/>
      <c r="CI67" s="3">
        <v>1.0</v>
      </c>
      <c r="CJ67" s="1"/>
      <c r="CK67" s="4"/>
      <c r="CL67" s="15"/>
      <c r="CM67" s="1"/>
      <c r="CN67" s="1"/>
      <c r="CO67" s="1"/>
      <c r="CP67" s="1"/>
      <c r="CQ67" s="4"/>
      <c r="CR67" s="15"/>
      <c r="CS67" s="1"/>
      <c r="CT67" s="4"/>
      <c r="CV67" s="1"/>
      <c r="CW67" s="4"/>
    </row>
    <row r="68">
      <c r="A68" s="47" t="s">
        <v>109</v>
      </c>
      <c r="C68" s="1"/>
      <c r="D68" s="4"/>
      <c r="E68" s="12">
        <v>2.0</v>
      </c>
      <c r="F68" s="1"/>
      <c r="G68" s="4"/>
      <c r="H68" s="7"/>
      <c r="I68" s="1"/>
      <c r="J68" s="4"/>
      <c r="K68" s="12">
        <v>2.0</v>
      </c>
      <c r="L68" s="1"/>
      <c r="M68" s="4"/>
      <c r="N68" s="12"/>
      <c r="O68" s="1"/>
      <c r="P68" s="4"/>
      <c r="Q68" s="1"/>
      <c r="R68" s="3">
        <v>3.0</v>
      </c>
      <c r="S68" s="1"/>
      <c r="T68" s="4"/>
      <c r="U68" s="12">
        <v>1.0</v>
      </c>
      <c r="V68" s="1"/>
      <c r="W68" s="4"/>
      <c r="X68" s="12">
        <v>1.0</v>
      </c>
      <c r="Y68" s="1"/>
      <c r="Z68" s="4"/>
      <c r="AA68" s="12">
        <v>3.0</v>
      </c>
      <c r="AB68" s="1"/>
      <c r="AC68" s="4"/>
      <c r="AE68" s="1"/>
      <c r="AF68" s="4"/>
      <c r="AG68" s="12">
        <v>1.0</v>
      </c>
      <c r="AH68" s="1"/>
      <c r="AI68" s="4"/>
      <c r="AK68" s="1"/>
      <c r="AL68" s="4"/>
      <c r="AN68" s="1"/>
      <c r="AO68" s="4"/>
      <c r="AP68" s="7">
        <v>1.0</v>
      </c>
      <c r="AQ68" s="1"/>
      <c r="AR68" s="4"/>
      <c r="AS68" s="7">
        <v>3.0</v>
      </c>
      <c r="AT68" s="1"/>
      <c r="AU68" s="4"/>
      <c r="AV68" s="1"/>
      <c r="AW68" s="1"/>
      <c r="AX68" s="4"/>
      <c r="AY68" s="1"/>
      <c r="AZ68" s="1"/>
      <c r="BA68" s="1"/>
      <c r="BB68" s="1"/>
      <c r="BC68" s="1"/>
      <c r="BD68" s="5"/>
      <c r="BE68" s="12">
        <v>1.0</v>
      </c>
      <c r="BF68" s="1"/>
      <c r="BG68" s="4"/>
      <c r="BH68" s="3">
        <v>0.0</v>
      </c>
      <c r="BI68" s="3">
        <v>0.0</v>
      </c>
      <c r="BJ68" s="3">
        <v>0.0</v>
      </c>
      <c r="BK68" s="3">
        <v>0.0</v>
      </c>
      <c r="BL68" s="1"/>
      <c r="BM68" s="4"/>
      <c r="BN68" s="7">
        <v>0.0</v>
      </c>
      <c r="BO68" s="1"/>
      <c r="BP68" s="4"/>
      <c r="BQ68" s="7">
        <v>0.0</v>
      </c>
      <c r="BR68" s="1"/>
      <c r="BS68" s="4"/>
      <c r="BT68" s="15"/>
      <c r="BU68" s="1"/>
      <c r="BV68" s="4"/>
      <c r="BW68" s="7">
        <v>0.0</v>
      </c>
      <c r="BX68" s="1"/>
      <c r="BY68" s="4"/>
      <c r="BZ68" s="7">
        <v>1.0</v>
      </c>
      <c r="CA68" s="1"/>
      <c r="CB68" s="4"/>
      <c r="CC68" s="7"/>
      <c r="CD68" s="1"/>
      <c r="CE68" s="4"/>
      <c r="CF68" s="2">
        <v>1.0</v>
      </c>
      <c r="CH68" s="1"/>
      <c r="CI68" s="1"/>
      <c r="CJ68" s="1"/>
      <c r="CK68" s="4"/>
      <c r="CL68" s="15"/>
      <c r="CM68" s="1"/>
      <c r="CN68" s="1"/>
      <c r="CO68" s="1"/>
      <c r="CP68" s="1"/>
      <c r="CQ68" s="4"/>
      <c r="CR68" s="15"/>
      <c r="CS68" s="1"/>
      <c r="CT68" s="4"/>
      <c r="CV68" s="1"/>
      <c r="CW68" s="4"/>
    </row>
    <row r="69">
      <c r="A69" s="47" t="s">
        <v>110</v>
      </c>
      <c r="C69" s="1"/>
      <c r="D69" s="4"/>
      <c r="E69" s="12">
        <v>1.0</v>
      </c>
      <c r="F69" s="1"/>
      <c r="G69" s="4"/>
      <c r="H69" s="7"/>
      <c r="I69" s="1"/>
      <c r="J69" s="4"/>
      <c r="K69" s="12">
        <v>2.0</v>
      </c>
      <c r="L69" s="1"/>
      <c r="M69" s="4"/>
      <c r="N69" s="12"/>
      <c r="O69" s="1"/>
      <c r="P69" s="4"/>
      <c r="Q69" s="3">
        <v>16.0</v>
      </c>
      <c r="R69" s="3">
        <v>16.0</v>
      </c>
      <c r="S69" s="1"/>
      <c r="T69" s="4"/>
      <c r="U69" s="12"/>
      <c r="V69" s="1"/>
      <c r="W69" s="4"/>
      <c r="X69" s="12">
        <v>2.0</v>
      </c>
      <c r="Y69" s="1"/>
      <c r="Z69" s="4"/>
      <c r="AA69" s="12">
        <v>15.0</v>
      </c>
      <c r="AB69" s="1"/>
      <c r="AC69" s="4"/>
      <c r="AD69" s="2">
        <v>3.0</v>
      </c>
      <c r="AE69" s="1"/>
      <c r="AF69" s="4"/>
      <c r="AG69" s="7"/>
      <c r="AH69" s="1"/>
      <c r="AI69" s="4"/>
      <c r="AJ69" s="2">
        <v>5.0</v>
      </c>
      <c r="AK69" s="1"/>
      <c r="AL69" s="4"/>
      <c r="AN69" s="1"/>
      <c r="AO69" s="4"/>
      <c r="AP69" s="7">
        <v>28.0</v>
      </c>
      <c r="AQ69" s="1"/>
      <c r="AR69" s="4"/>
      <c r="AS69" s="7">
        <v>22.0</v>
      </c>
      <c r="AT69" s="1"/>
      <c r="AU69" s="4"/>
      <c r="AV69" s="3">
        <v>83.0</v>
      </c>
      <c r="AW69" s="1"/>
      <c r="AX69" s="4"/>
      <c r="AY69" s="3"/>
      <c r="AZ69" s="3">
        <v>22.0</v>
      </c>
      <c r="BA69" s="1"/>
      <c r="BB69" s="3">
        <v>15.0</v>
      </c>
      <c r="BC69" s="1"/>
      <c r="BD69" s="5"/>
      <c r="BE69" s="12">
        <v>19.0</v>
      </c>
      <c r="BF69" s="1"/>
      <c r="BG69" s="4"/>
      <c r="BH69" s="3">
        <v>20.0</v>
      </c>
      <c r="BI69" s="3">
        <v>16.0</v>
      </c>
      <c r="BJ69" s="3">
        <v>15.0</v>
      </c>
      <c r="BK69" s="3">
        <v>9.0</v>
      </c>
      <c r="BL69" s="1"/>
      <c r="BM69" s="4"/>
      <c r="BN69" s="7">
        <v>8.0</v>
      </c>
      <c r="BO69" s="1"/>
      <c r="BP69" s="4"/>
      <c r="BQ69" s="7">
        <v>12.0</v>
      </c>
      <c r="BR69" s="1"/>
      <c r="BS69" s="4"/>
      <c r="BT69" s="15"/>
      <c r="BU69" s="1"/>
      <c r="BV69" s="4"/>
      <c r="BW69" s="7">
        <v>12.0</v>
      </c>
      <c r="BX69" s="1"/>
      <c r="BY69" s="4"/>
      <c r="BZ69" s="7">
        <v>1.0</v>
      </c>
      <c r="CA69" s="1"/>
      <c r="CB69" s="4"/>
      <c r="CC69" s="12">
        <v>6.0</v>
      </c>
      <c r="CD69" s="1"/>
      <c r="CE69" s="4"/>
      <c r="CF69" s="2">
        <v>2.0</v>
      </c>
      <c r="CG69" s="2">
        <v>6.0</v>
      </c>
      <c r="CH69" s="1"/>
      <c r="CI69" s="3">
        <v>2.0</v>
      </c>
      <c r="CJ69" s="1"/>
      <c r="CK69" s="4"/>
      <c r="CL69" s="15"/>
      <c r="CM69" s="1"/>
      <c r="CN69" s="3">
        <v>1.0</v>
      </c>
      <c r="CO69" s="1"/>
      <c r="CP69" s="1"/>
      <c r="CQ69" s="4"/>
      <c r="CR69" s="6">
        <v>6.0</v>
      </c>
      <c r="CS69" s="1"/>
      <c r="CT69" s="4"/>
      <c r="CV69" s="1"/>
      <c r="CW69" s="4"/>
    </row>
    <row r="70">
      <c r="A70" s="47" t="s">
        <v>111</v>
      </c>
      <c r="C70" s="1"/>
      <c r="D70" s="4"/>
      <c r="E70" s="12">
        <v>8.0</v>
      </c>
      <c r="F70" s="1"/>
      <c r="G70" s="4"/>
      <c r="H70" s="12">
        <v>3.0</v>
      </c>
      <c r="I70" s="1"/>
      <c r="J70" s="4"/>
      <c r="K70" s="12">
        <v>5.0</v>
      </c>
      <c r="L70" s="1"/>
      <c r="M70" s="4"/>
      <c r="N70" s="12">
        <v>3.0</v>
      </c>
      <c r="O70" s="1"/>
      <c r="P70" s="4"/>
      <c r="Q70" s="3">
        <v>4.0</v>
      </c>
      <c r="R70" s="3">
        <v>7.0</v>
      </c>
      <c r="S70" s="1"/>
      <c r="T70" s="4"/>
      <c r="U70" s="12"/>
      <c r="V70" s="1"/>
      <c r="W70" s="4"/>
      <c r="X70" s="12">
        <v>1.0</v>
      </c>
      <c r="Y70" s="3" t="s">
        <v>88</v>
      </c>
      <c r="Z70" s="4"/>
      <c r="AA70" s="12">
        <v>8.0</v>
      </c>
      <c r="AB70" s="1"/>
      <c r="AC70" s="4"/>
      <c r="AD70" s="2">
        <v>1.0</v>
      </c>
      <c r="AE70" s="1"/>
      <c r="AF70" s="4"/>
      <c r="AG70" s="12">
        <v>12.0</v>
      </c>
      <c r="AH70" s="1"/>
      <c r="AI70" s="4"/>
      <c r="AJ70" s="2">
        <v>6.0</v>
      </c>
      <c r="AK70" s="1"/>
      <c r="AL70" s="4"/>
      <c r="AN70" s="1"/>
      <c r="AO70" s="4"/>
      <c r="AP70" s="7">
        <v>9.0</v>
      </c>
      <c r="AQ70" s="1"/>
      <c r="AR70" s="4"/>
      <c r="AS70" s="7">
        <v>25.0</v>
      </c>
      <c r="AT70" s="1"/>
      <c r="AU70" s="4"/>
      <c r="AV70" s="3">
        <v>14.0</v>
      </c>
      <c r="AW70" s="1"/>
      <c r="AX70" s="4"/>
      <c r="AY70" s="1"/>
      <c r="AZ70" s="1"/>
      <c r="BA70" s="1"/>
      <c r="BB70" s="1"/>
      <c r="BC70" s="1"/>
      <c r="BD70" s="5"/>
      <c r="BE70" s="12">
        <v>1.0</v>
      </c>
      <c r="BF70" s="1"/>
      <c r="BG70" s="4"/>
      <c r="BH70" s="3">
        <v>1.0</v>
      </c>
      <c r="BI70" s="3">
        <v>4.0</v>
      </c>
      <c r="BJ70" s="3">
        <v>1.0</v>
      </c>
      <c r="BK70" s="3">
        <v>0.0</v>
      </c>
      <c r="BL70" s="1"/>
      <c r="BM70" s="4"/>
      <c r="BN70" s="7">
        <v>8.0</v>
      </c>
      <c r="BO70" s="1"/>
      <c r="BP70" s="4"/>
      <c r="BQ70" s="7">
        <v>0.0</v>
      </c>
      <c r="BR70" s="1"/>
      <c r="BS70" s="4"/>
      <c r="BT70" s="15"/>
      <c r="BU70" s="1"/>
      <c r="BV70" s="4"/>
      <c r="BW70" s="7">
        <v>13.0</v>
      </c>
      <c r="BX70" s="1"/>
      <c r="BY70" s="4"/>
      <c r="BZ70" s="7">
        <v>1.0</v>
      </c>
      <c r="CA70" s="1"/>
      <c r="CB70" s="4"/>
      <c r="CC70" s="7"/>
      <c r="CD70" s="1"/>
      <c r="CE70" s="4"/>
      <c r="CF70" s="2">
        <v>3.0</v>
      </c>
      <c r="CG70" s="2">
        <v>2.0</v>
      </c>
      <c r="CH70" s="1"/>
      <c r="CI70" s="3">
        <v>2.0</v>
      </c>
      <c r="CJ70" s="1"/>
      <c r="CK70" s="4"/>
      <c r="CL70" s="6">
        <v>1.0</v>
      </c>
      <c r="CM70" s="1"/>
      <c r="CN70" s="1"/>
      <c r="CO70" s="1"/>
      <c r="CP70" s="1"/>
      <c r="CQ70" s="4"/>
      <c r="CR70" s="15"/>
      <c r="CS70" s="1"/>
      <c r="CT70" s="4"/>
      <c r="CV70" s="1"/>
      <c r="CW70" s="4"/>
    </row>
    <row r="71">
      <c r="A71" s="47" t="s">
        <v>112</v>
      </c>
      <c r="C71" s="1">
        <f>B67+B66+B65+B64+B63+B60+B58</f>
        <v>31</v>
      </c>
      <c r="D71" s="8">
        <f t="shared" ref="D71:D72" si="95">C71/C$3*2000</f>
        <v>130.5263158</v>
      </c>
      <c r="E71" s="7"/>
      <c r="F71" s="1">
        <f>E67+E66+E65+E64+E63+E60+E58</f>
        <v>24</v>
      </c>
      <c r="G71" s="8">
        <f t="shared" ref="G71:G72" si="96">F71/F$3*2000</f>
        <v>80</v>
      </c>
      <c r="H71" s="7"/>
      <c r="I71" s="1">
        <f>H67+H66+H65+H64+H63+H60+H58</f>
        <v>17</v>
      </c>
      <c r="J71" s="8">
        <f t="shared" ref="J71:J72" si="97">I71/I$3*2000</f>
        <v>122.5225225</v>
      </c>
      <c r="K71" s="7"/>
      <c r="L71" s="1">
        <f>K67+K66+K65+K64+K63+K60+K58</f>
        <v>24</v>
      </c>
      <c r="M71" s="8">
        <f t="shared" ref="M71:M72" si="98">L71/L$3*2000</f>
        <v>89.55223881</v>
      </c>
      <c r="N71" s="7"/>
      <c r="O71" s="1">
        <f>N67+N66+N65+N64+N63+N60+N58</f>
        <v>11</v>
      </c>
      <c r="P71" s="8">
        <f t="shared" ref="P71:P72" si="99">O71/O$3*2000</f>
        <v>39.4265233</v>
      </c>
      <c r="Q71" s="1"/>
      <c r="R71" s="3">
        <v>1.0</v>
      </c>
      <c r="S71" s="1">
        <f>sum(Q58:R58)+sum(Q60:R60)+sum(Q63:R67)</f>
        <v>0</v>
      </c>
      <c r="T71" s="8">
        <f t="shared" ref="T71:T72" si="100">S71/S$3*2000</f>
        <v>0</v>
      </c>
      <c r="U71" s="7"/>
      <c r="V71" s="1">
        <f>U67+U66+U65+U64+U63+U60+U58</f>
        <v>32</v>
      </c>
      <c r="W71" s="8">
        <f t="shared" ref="W71:W72" si="101">V71/V$3*2000</f>
        <v>121.9047619</v>
      </c>
      <c r="X71" s="7"/>
      <c r="Y71" s="1">
        <f>X67+X66+X65+X64+X63+X60+X58</f>
        <v>17</v>
      </c>
      <c r="Z71" s="8">
        <f t="shared" ref="Z71:Z72" si="102">Y71/Y$3*2000</f>
        <v>71.76781003</v>
      </c>
      <c r="AA71" s="7"/>
      <c r="AB71" s="1">
        <f>AA67+AA66+AA65+AA64+AA63+AA60+AA58</f>
        <v>4</v>
      </c>
      <c r="AC71" s="8">
        <f t="shared" ref="AC71:AC72" si="103">AB71/AB$3*2000</f>
        <v>13.33333333</v>
      </c>
      <c r="AE71" s="1">
        <f>AD67+AD66+AD65+AD64+AD63+AD60+AD58</f>
        <v>22</v>
      </c>
      <c r="AF71" s="8">
        <f t="shared" ref="AF71:AF72" si="104">AE71/AE$3*2000</f>
        <v>93.86666667</v>
      </c>
      <c r="AG71" s="7"/>
      <c r="AH71" s="1">
        <f>AG67+AG66+AG65+AG64+AG63+AG60+AG58</f>
        <v>6</v>
      </c>
      <c r="AI71" s="8">
        <f t="shared" ref="AI71:AI72" si="105">AH71/AH$3*2000</f>
        <v>20.94240838</v>
      </c>
      <c r="AK71" s="1">
        <f>AJ67+AJ66+AJ65+AJ64+AJ63+AJ60+AJ58</f>
        <v>1</v>
      </c>
      <c r="AL71" s="8">
        <f t="shared" ref="AL71:AL72" si="106">AK71/AK$3*2000</f>
        <v>5.025125628</v>
      </c>
      <c r="AN71" s="1">
        <f>AM67+AM66+AM65+AM64+AM63+AM60+AM58</f>
        <v>1</v>
      </c>
      <c r="AO71" s="8">
        <f t="shared" ref="AO71:AO72" si="107">AN71/AN$3*2000</f>
        <v>8.130081301</v>
      </c>
      <c r="AP71" s="7">
        <v>2.0</v>
      </c>
      <c r="AQ71" s="1">
        <f>AP67+AP66+AP65+AP64+AP63+AP60+AP58</f>
        <v>12</v>
      </c>
      <c r="AR71" s="8">
        <f t="shared" ref="AR71:AR72" si="108">AQ71/AQ$3*2000</f>
        <v>12.08459215</v>
      </c>
      <c r="AS71" s="7">
        <v>0.0</v>
      </c>
      <c r="AT71" s="1">
        <f>AS67+AS66+AS65+AS64+AS63+AS60+AS58</f>
        <v>21</v>
      </c>
      <c r="AU71" s="8">
        <f t="shared" ref="AU71:AU72" si="109">AT71/AT$3*2000</f>
        <v>20.63882064</v>
      </c>
      <c r="AV71" s="1"/>
      <c r="AW71" s="1">
        <f>AV67+AV66+AV65+AV64+AV63+AV60+AV58</f>
        <v>4</v>
      </c>
      <c r="AX71" s="8">
        <f t="shared" ref="AX71:AX72" si="110">AW71/AW$3*2000</f>
        <v>3.703703704</v>
      </c>
      <c r="AY71" s="1"/>
      <c r="AZ71" s="1"/>
      <c r="BA71" s="1"/>
      <c r="BB71" s="1"/>
      <c r="BC71" s="1">
        <f>sum(AY58:BB58)+sum(AY60:BB60)+sum(AY63:BB67)</f>
        <v>0</v>
      </c>
      <c r="BD71" s="9">
        <f t="shared" ref="BD71:BD72" si="111">BC71/BC$3*2000</f>
        <v>0</v>
      </c>
      <c r="BE71" s="7"/>
      <c r="BF71" s="1">
        <f>BE67+BE66+BE65+BE64+BE63+BE60+BE58</f>
        <v>1</v>
      </c>
      <c r="BG71" s="8">
        <f t="shared" ref="BG71:BG72" si="112">BF71/BF$3*2000</f>
        <v>5.934718101</v>
      </c>
      <c r="BH71" s="3">
        <v>0.0</v>
      </c>
      <c r="BI71" s="3">
        <v>0.0</v>
      </c>
      <c r="BJ71" s="3">
        <v>0.0</v>
      </c>
      <c r="BK71" s="3">
        <v>0.0</v>
      </c>
      <c r="BL71" s="1">
        <f>sum(BH58:BK58)+sum(BH60:BK60)+sum(BH63:BK67)</f>
        <v>3</v>
      </c>
      <c r="BM71" s="8">
        <f t="shared" ref="BM71:BM72" si="113">BL71/BL$3*2000</f>
        <v>2.033209082</v>
      </c>
      <c r="BN71" s="7">
        <v>0.0</v>
      </c>
      <c r="BO71" s="1">
        <f>BN67+BN66+BN65+BN64+BN63+BN60+BN58</f>
        <v>10</v>
      </c>
      <c r="BP71" s="8">
        <f t="shared" ref="BP71:BP72" si="114">BO71/BO$3*2000</f>
        <v>12.82051282</v>
      </c>
      <c r="BQ71" s="7">
        <v>0.0</v>
      </c>
      <c r="BR71" s="1">
        <f>BQ67+BQ66+BQ65+BQ64+BQ63+BQ60+BQ58</f>
        <v>11</v>
      </c>
      <c r="BS71" s="8">
        <f t="shared" ref="BS71:BS72" si="115">BR71/BR$3*2000</f>
        <v>10.92896175</v>
      </c>
      <c r="BT71" s="15"/>
      <c r="BU71" s="15">
        <f>BT67+BT66+BT65+BT64+BT63+BT60+BT58</f>
        <v>0</v>
      </c>
      <c r="BV71" s="8">
        <f t="shared" ref="BV71:BV72" si="116">BU71/BU$3*2000</f>
        <v>0</v>
      </c>
      <c r="BW71" s="7">
        <v>1.0</v>
      </c>
      <c r="BX71" s="1">
        <f>BW67+BW66+BW65+BW64+BW63+BW60+BW58</f>
        <v>5</v>
      </c>
      <c r="BY71" s="8">
        <f t="shared" ref="BY71:BY72" si="117">BX71/BX$3*2000</f>
        <v>7.30994152</v>
      </c>
      <c r="BZ71" s="7">
        <v>2.0</v>
      </c>
      <c r="CA71" s="1">
        <f>BZ67+BZ66+BZ65+BZ64+BZ63+BZ60+BZ58</f>
        <v>3</v>
      </c>
      <c r="CB71" s="8">
        <f t="shared" ref="CB71:CB72" si="118">CA71/CA$3*2000</f>
        <v>11.32075472</v>
      </c>
      <c r="CC71" s="7"/>
      <c r="CD71" s="1">
        <f>CC67+CC66+CC65+CC64+CC63+CC60+CC58</f>
        <v>1</v>
      </c>
      <c r="CE71" s="8">
        <f t="shared" ref="CE71:CE72" si="119">CD71/CD$3*2000</f>
        <v>3.710575139</v>
      </c>
      <c r="CH71" s="1"/>
      <c r="CI71" s="1"/>
      <c r="CJ71" s="1">
        <f>sum(CF58:CI58)+sum(CF60:CI60)+sum(CF63:CI67)+CF54</f>
        <v>3</v>
      </c>
      <c r="CK71" s="8">
        <f t="shared" ref="CK71:CK72" si="120">CJ71/CJ$3*2000</f>
        <v>2.115655853</v>
      </c>
      <c r="CL71" s="15"/>
      <c r="CM71" s="1"/>
      <c r="CN71" s="1"/>
      <c r="CO71" s="1"/>
      <c r="CP71" s="15">
        <f>sum(CL58:CO58)+sum(CL60:CO60)+sum(CL63:CO67)</f>
        <v>1</v>
      </c>
      <c r="CQ71" s="8">
        <f t="shared" ref="CQ71:CQ72" si="121">CP71/CP$3*2000</f>
        <v>1.340482574</v>
      </c>
      <c r="CR71" s="15"/>
      <c r="CS71" s="15">
        <f>CR67+CR66+CR65+CR64+CR63+CR60+CR58</f>
        <v>3</v>
      </c>
      <c r="CT71" s="8">
        <f t="shared" ref="CT71:CT72" si="122">CS71/CS$3*2000</f>
        <v>2.21116639</v>
      </c>
      <c r="CV71" s="1">
        <f>CU67+CU66+CU65+CU64+CU63+CU60+CU58</f>
        <v>0</v>
      </c>
      <c r="CW71" s="8">
        <f t="shared" ref="CW71:CW72" si="123">CV71/CV$3*2000</f>
        <v>0</v>
      </c>
    </row>
    <row r="72">
      <c r="A72" s="47" t="s">
        <v>113</v>
      </c>
      <c r="C72" s="7">
        <f>sum(B50:B72)</f>
        <v>56</v>
      </c>
      <c r="D72" s="16">
        <f t="shared" si="95"/>
        <v>235.7894737</v>
      </c>
      <c r="E72" s="12">
        <v>4.0</v>
      </c>
      <c r="F72" s="7">
        <f>sum(E50:E72)</f>
        <v>70</v>
      </c>
      <c r="G72" s="16">
        <f t="shared" si="96"/>
        <v>233.3333333</v>
      </c>
      <c r="H72" s="12">
        <v>2.0</v>
      </c>
      <c r="I72" s="7">
        <f>sum(H50:H72)</f>
        <v>28</v>
      </c>
      <c r="J72" s="16">
        <f t="shared" si="97"/>
        <v>201.8018018</v>
      </c>
      <c r="K72" s="12">
        <v>1.0</v>
      </c>
      <c r="L72" s="7">
        <f>sum(K50:K72)</f>
        <v>49</v>
      </c>
      <c r="M72" s="16">
        <f t="shared" si="98"/>
        <v>182.8358209</v>
      </c>
      <c r="N72" s="12">
        <v>3.0</v>
      </c>
      <c r="O72" s="7">
        <f>sum(N50:N72)</f>
        <v>44</v>
      </c>
      <c r="P72" s="16">
        <f t="shared" si="99"/>
        <v>157.7060932</v>
      </c>
      <c r="Q72" s="3">
        <v>2.0</v>
      </c>
      <c r="R72" s="3">
        <v>5.0</v>
      </c>
      <c r="S72" s="7">
        <f>sum(Q50:R72)</f>
        <v>74</v>
      </c>
      <c r="T72" s="16">
        <f t="shared" si="100"/>
        <v>311.5789474</v>
      </c>
      <c r="U72" s="12">
        <v>1.0</v>
      </c>
      <c r="V72" s="7">
        <f>sum(U50:U72)</f>
        <v>46</v>
      </c>
      <c r="W72" s="16">
        <f t="shared" si="101"/>
        <v>175.2380952</v>
      </c>
      <c r="X72" s="12">
        <v>1.0</v>
      </c>
      <c r="Y72" s="7">
        <f>sum(X50:X72)</f>
        <v>47</v>
      </c>
      <c r="Z72" s="16">
        <f t="shared" si="102"/>
        <v>198.4168865</v>
      </c>
      <c r="AA72" s="12">
        <v>5.0</v>
      </c>
      <c r="AB72" s="7">
        <f>sum(AA50:AA72)</f>
        <v>80</v>
      </c>
      <c r="AC72" s="16">
        <f t="shared" si="103"/>
        <v>266.6666667</v>
      </c>
      <c r="AD72" s="2">
        <v>7.0</v>
      </c>
      <c r="AE72" s="7">
        <f>sum(AD50:AD72)</f>
        <v>49</v>
      </c>
      <c r="AF72" s="16">
        <f t="shared" si="104"/>
        <v>209.0666667</v>
      </c>
      <c r="AG72" s="12">
        <v>4.0</v>
      </c>
      <c r="AH72" s="7">
        <f>sum(AG50:AG72)</f>
        <v>42</v>
      </c>
      <c r="AI72" s="16">
        <f t="shared" si="105"/>
        <v>146.5968586</v>
      </c>
      <c r="AK72" s="7">
        <f>sum(AJ50:AJ72)</f>
        <v>16</v>
      </c>
      <c r="AL72" s="16">
        <f t="shared" si="106"/>
        <v>80.40201005</v>
      </c>
      <c r="AN72" s="7">
        <f>sum(AM50:AM72)</f>
        <v>2</v>
      </c>
      <c r="AO72" s="16">
        <f t="shared" si="107"/>
        <v>16.2601626</v>
      </c>
      <c r="AP72" s="7">
        <v>6.0</v>
      </c>
      <c r="AQ72" s="7">
        <f>sum(AP50:AP72)</f>
        <v>134</v>
      </c>
      <c r="AR72" s="16">
        <f t="shared" si="108"/>
        <v>134.9446123</v>
      </c>
      <c r="AS72" s="7">
        <v>8.0</v>
      </c>
      <c r="AT72" s="7">
        <f>sum(AS50:AS72)</f>
        <v>119</v>
      </c>
      <c r="AU72" s="16">
        <f t="shared" si="109"/>
        <v>116.953317</v>
      </c>
      <c r="AV72" s="3">
        <v>13.0</v>
      </c>
      <c r="AW72" s="7">
        <f>sum(AV50:AV72)</f>
        <v>214</v>
      </c>
      <c r="AX72" s="16">
        <f t="shared" si="110"/>
        <v>198.1481481</v>
      </c>
      <c r="AY72" s="1"/>
      <c r="AZ72" s="1"/>
      <c r="BA72" s="1"/>
      <c r="BB72" s="1"/>
      <c r="BC72" s="7">
        <f>sum(AY50:BB72)</f>
        <v>81</v>
      </c>
      <c r="BD72" s="18">
        <f t="shared" si="111"/>
        <v>103.7796284</v>
      </c>
      <c r="BE72" s="7"/>
      <c r="BF72" s="7">
        <f>sum(BE50:BE72)</f>
        <v>39</v>
      </c>
      <c r="BG72" s="16">
        <f t="shared" si="112"/>
        <v>231.4540059</v>
      </c>
      <c r="BH72" s="3">
        <v>2.0</v>
      </c>
      <c r="BI72" s="3">
        <v>3.0</v>
      </c>
      <c r="BJ72" s="3">
        <v>1.0</v>
      </c>
      <c r="BK72" s="3">
        <v>1.0</v>
      </c>
      <c r="BL72" s="7">
        <f>sum(BH50:BK72)</f>
        <v>125</v>
      </c>
      <c r="BM72" s="16">
        <f t="shared" si="113"/>
        <v>84.71704507</v>
      </c>
      <c r="BN72" s="7">
        <v>4.0</v>
      </c>
      <c r="BO72" s="7">
        <f>sum(BN50:BN72)</f>
        <v>51</v>
      </c>
      <c r="BP72" s="16">
        <f t="shared" si="114"/>
        <v>65.38461538</v>
      </c>
      <c r="BQ72" s="7">
        <v>0.0</v>
      </c>
      <c r="BR72" s="7">
        <f>sum(BQ50:BQ72)</f>
        <v>39</v>
      </c>
      <c r="BS72" s="16">
        <f t="shared" si="115"/>
        <v>38.74813711</v>
      </c>
      <c r="BT72" s="15"/>
      <c r="BU72" s="11">
        <f>sum(BT50:BT72)</f>
        <v>4</v>
      </c>
      <c r="BV72" s="16">
        <f t="shared" si="116"/>
        <v>16.64066563</v>
      </c>
      <c r="BW72" s="7">
        <v>0.0</v>
      </c>
      <c r="BX72" s="7">
        <f>sum(BW50:BW72)</f>
        <v>51</v>
      </c>
      <c r="BY72" s="16">
        <f t="shared" si="117"/>
        <v>74.56140351</v>
      </c>
      <c r="BZ72" s="7">
        <v>1.0</v>
      </c>
      <c r="CA72" s="7">
        <f>sum(BZ50:BZ72)</f>
        <v>14</v>
      </c>
      <c r="CB72" s="16">
        <f t="shared" si="118"/>
        <v>52.83018868</v>
      </c>
      <c r="CC72" s="7"/>
      <c r="CD72" s="7">
        <f>sum(CC50:CC72)</f>
        <v>11</v>
      </c>
      <c r="CE72" s="16">
        <f t="shared" si="119"/>
        <v>40.81632653</v>
      </c>
      <c r="CF72" s="2">
        <v>1.0</v>
      </c>
      <c r="CH72" s="1"/>
      <c r="CI72" s="1"/>
      <c r="CJ72" s="7">
        <f>sum(CF50:CI72)</f>
        <v>39</v>
      </c>
      <c r="CK72" s="16">
        <f t="shared" si="120"/>
        <v>27.50352609</v>
      </c>
      <c r="CL72" s="15"/>
      <c r="CM72" s="7"/>
      <c r="CN72" s="7"/>
      <c r="CO72" s="7"/>
      <c r="CP72" s="11">
        <f>sum(CL50:CO72)</f>
        <v>3</v>
      </c>
      <c r="CQ72" s="16">
        <f t="shared" si="121"/>
        <v>4.021447721</v>
      </c>
      <c r="CR72" s="6">
        <v>2.0</v>
      </c>
      <c r="CS72" s="11">
        <f>sum(CR50:CR72)</f>
        <v>15</v>
      </c>
      <c r="CT72" s="16">
        <f t="shared" si="122"/>
        <v>11.05583195</v>
      </c>
      <c r="CV72" s="7">
        <f>sum(CU50:CU72)</f>
        <v>1</v>
      </c>
      <c r="CW72" s="16">
        <f t="shared" si="123"/>
        <v>2.599935002</v>
      </c>
    </row>
    <row r="73">
      <c r="A73" s="24" t="s">
        <v>114</v>
      </c>
      <c r="C73" s="1"/>
      <c r="D73" s="8">
        <f>C72/C$3*2000+D50</f>
        <v>1242.105263</v>
      </c>
      <c r="E73" s="7"/>
      <c r="F73" s="1"/>
      <c r="G73" s="8">
        <f>F72/F$3*2000+G50</f>
        <v>976.6666667</v>
      </c>
      <c r="H73" s="7"/>
      <c r="I73" s="1"/>
      <c r="J73" s="8">
        <f>I72/I$3*2000+J50</f>
        <v>1045.045045</v>
      </c>
      <c r="K73" s="7"/>
      <c r="L73" s="1"/>
      <c r="M73" s="8">
        <f>L72/L$3*2000+M50</f>
        <v>940.2985075</v>
      </c>
      <c r="N73" s="12">
        <v>4.0</v>
      </c>
      <c r="O73" s="1"/>
      <c r="P73" s="8">
        <f>O72/O$3*2000+P50</f>
        <v>612.9032258</v>
      </c>
      <c r="Q73" s="1"/>
      <c r="R73" s="1"/>
      <c r="S73" s="1"/>
      <c r="T73" s="8">
        <f>S72/S$3*2000+T50</f>
        <v>703.1578947</v>
      </c>
      <c r="U73" s="7"/>
      <c r="V73" s="1"/>
      <c r="W73" s="8">
        <f>V72/V$3*2000+W50</f>
        <v>575.2380952</v>
      </c>
      <c r="X73" s="7"/>
      <c r="Y73" s="1"/>
      <c r="Z73" s="8">
        <f>Y72/Y$3*2000+Z50</f>
        <v>1190.501319</v>
      </c>
      <c r="AA73" s="7"/>
      <c r="AB73" s="1"/>
      <c r="AC73" s="8">
        <f>AB72/AB$3*2000+AC50</f>
        <v>1126.666667</v>
      </c>
      <c r="AE73" s="1"/>
      <c r="AF73" s="8">
        <f>AE72/AE$3*2000+AF50</f>
        <v>951.4666667</v>
      </c>
      <c r="AG73" s="7"/>
      <c r="AH73" s="1"/>
      <c r="AI73" s="8">
        <f>AH72/AH$3*2000+AI50</f>
        <v>827.2251309</v>
      </c>
      <c r="AK73" s="1"/>
      <c r="AL73" s="8">
        <f>AK72/AK$3*2000+AL50</f>
        <v>296.4824121</v>
      </c>
      <c r="AN73" s="1"/>
      <c r="AO73" s="8">
        <f>AN72/AN$3*2000+AO50</f>
        <v>186.9918699</v>
      </c>
      <c r="AP73" s="7">
        <v>2.0</v>
      </c>
      <c r="AQ73" s="1"/>
      <c r="AR73" s="8">
        <f>AQ72/AQ$3*2000+AR50</f>
        <v>534.7432024</v>
      </c>
      <c r="AS73" s="7">
        <v>0.0</v>
      </c>
      <c r="AT73" s="1"/>
      <c r="AU73" s="8">
        <f>AT72/AT$3*2000+AU50</f>
        <v>502.2113022</v>
      </c>
      <c r="AV73" s="1"/>
      <c r="AW73" s="1"/>
      <c r="AX73" s="8">
        <f>AW72/AW$3*2000+AX50</f>
        <v>575</v>
      </c>
      <c r="AY73" s="1"/>
      <c r="AZ73" s="1"/>
      <c r="BA73" s="1"/>
      <c r="BB73" s="1"/>
      <c r="BC73" s="1"/>
      <c r="BD73" s="9">
        <f>BC72/BC$3*2000+BD50</f>
        <v>453.5554132</v>
      </c>
      <c r="BE73" s="12">
        <v>1.0</v>
      </c>
      <c r="BF73" s="1"/>
      <c r="BG73" s="8">
        <f>BF72/BF$3*2000+BG50</f>
        <v>545.9940653</v>
      </c>
      <c r="BH73" s="3">
        <v>1.0</v>
      </c>
      <c r="BI73" s="1"/>
      <c r="BJ73" s="1"/>
      <c r="BK73" s="1"/>
      <c r="BL73" s="1"/>
      <c r="BM73" s="8">
        <f>BL72/BL$3*2000+BM50</f>
        <v>378.1768892</v>
      </c>
      <c r="BN73" s="7">
        <v>0.0</v>
      </c>
      <c r="BO73" s="1"/>
      <c r="BP73" s="8">
        <f>BO72/BO$3*2000+BP50</f>
        <v>330.7692308</v>
      </c>
      <c r="BQ73" s="7">
        <v>0.0</v>
      </c>
      <c r="BR73" s="1"/>
      <c r="BS73" s="8">
        <f>BR72/BR$3*2000+BS50</f>
        <v>263.2886239</v>
      </c>
      <c r="BT73" s="15"/>
      <c r="BU73" s="1"/>
      <c r="BV73" s="8">
        <f>BU72/BU$3*2000+BV50</f>
        <v>270.4108164</v>
      </c>
      <c r="BW73" s="7">
        <v>0.0</v>
      </c>
      <c r="BX73" s="1"/>
      <c r="BY73" s="8">
        <f>BX72/BX$3*2000+BY50</f>
        <v>255.8479532</v>
      </c>
      <c r="BZ73" s="7">
        <v>0.0</v>
      </c>
      <c r="CA73" s="1"/>
      <c r="CB73" s="8">
        <f>CA72/CA$3*2000+CB50</f>
        <v>222.6415094</v>
      </c>
      <c r="CC73" s="7"/>
      <c r="CD73" s="1"/>
      <c r="CE73" s="8">
        <f>CD72/CD$3*2000+CE50</f>
        <v>189.2393321</v>
      </c>
      <c r="CH73" s="1"/>
      <c r="CI73" s="1"/>
      <c r="CJ73" s="1"/>
      <c r="CK73" s="8">
        <f>CJ72/CJ$3*2000+CK50</f>
        <v>163.6107193</v>
      </c>
      <c r="CL73" s="15"/>
      <c r="CM73" s="1"/>
      <c r="CN73" s="1"/>
      <c r="CO73" s="1"/>
      <c r="CP73" s="1"/>
      <c r="CQ73" s="8">
        <f>CP72/CP$3*2000+CQ50</f>
        <v>111.2600536</v>
      </c>
      <c r="CR73" s="15"/>
      <c r="CS73" s="1"/>
      <c r="CT73" s="8">
        <f>CS72/CS$3*2000+CT50</f>
        <v>100.239543</v>
      </c>
      <c r="CV73" s="1"/>
      <c r="CW73" s="8">
        <f>CV72/CV$3*2000+CW50</f>
        <v>90.99772506</v>
      </c>
    </row>
    <row r="74">
      <c r="A74" s="24" t="s">
        <v>115</v>
      </c>
      <c r="C74" s="1"/>
      <c r="D74" s="4"/>
      <c r="E74" s="12">
        <v>1.0</v>
      </c>
      <c r="F74" s="1"/>
      <c r="G74" s="4"/>
      <c r="H74" s="12">
        <v>2.0</v>
      </c>
      <c r="I74" s="1"/>
      <c r="J74" s="4"/>
      <c r="K74" s="12">
        <v>2.0</v>
      </c>
      <c r="L74" s="1"/>
      <c r="M74" s="4"/>
      <c r="N74" s="12">
        <v>6.0</v>
      </c>
      <c r="O74" s="1"/>
      <c r="P74" s="4"/>
      <c r="Q74" s="1"/>
      <c r="R74" s="1"/>
      <c r="S74" s="1"/>
      <c r="T74" s="4"/>
      <c r="U74" s="12">
        <v>1.0</v>
      </c>
      <c r="V74" s="1"/>
      <c r="W74" s="4"/>
      <c r="X74" s="12">
        <v>1.0</v>
      </c>
      <c r="Y74" s="1"/>
      <c r="Z74" s="4"/>
      <c r="AA74" s="7"/>
      <c r="AB74" s="1"/>
      <c r="AC74" s="4"/>
      <c r="AD74" s="2">
        <v>2.0</v>
      </c>
      <c r="AE74" s="1"/>
      <c r="AF74" s="4"/>
      <c r="AG74" s="12">
        <v>1.0</v>
      </c>
      <c r="AH74" s="1"/>
      <c r="AI74" s="4"/>
      <c r="AJ74" s="2">
        <v>2.0</v>
      </c>
      <c r="AK74" s="1"/>
      <c r="AL74" s="4"/>
      <c r="AN74" s="1"/>
      <c r="AO74" s="4"/>
      <c r="AP74" s="7">
        <v>9.0</v>
      </c>
      <c r="AQ74" s="1"/>
      <c r="AR74" s="4"/>
      <c r="AS74" s="7">
        <v>4.0</v>
      </c>
      <c r="AT74" s="1"/>
      <c r="AU74" s="4"/>
      <c r="AV74" s="3">
        <v>5.0</v>
      </c>
      <c r="AW74" s="1"/>
      <c r="AX74" s="4"/>
      <c r="AY74" s="1"/>
      <c r="AZ74" s="1"/>
      <c r="BA74" s="1"/>
      <c r="BB74" s="1"/>
      <c r="BC74" s="1"/>
      <c r="BD74" s="5"/>
      <c r="BE74" s="12">
        <v>1.0</v>
      </c>
      <c r="BF74" s="1"/>
      <c r="BG74" s="4"/>
      <c r="BH74" s="1"/>
      <c r="BI74" s="3">
        <v>1.0</v>
      </c>
      <c r="BJ74" s="1"/>
      <c r="BK74" s="3">
        <v>1.0</v>
      </c>
      <c r="BL74" s="1"/>
      <c r="BM74" s="4"/>
      <c r="BN74" s="7">
        <v>5.0</v>
      </c>
      <c r="BO74" s="1"/>
      <c r="BP74" s="4"/>
      <c r="BQ74" s="7">
        <v>0.0</v>
      </c>
      <c r="BR74" s="1"/>
      <c r="BS74" s="4"/>
      <c r="BT74" s="6">
        <v>1.0</v>
      </c>
      <c r="BU74" s="1"/>
      <c r="BV74" s="4"/>
      <c r="BW74" s="7">
        <v>1.0</v>
      </c>
      <c r="BX74" s="1"/>
      <c r="BY74" s="4"/>
      <c r="BZ74" s="7">
        <v>1.0</v>
      </c>
      <c r="CA74" s="1"/>
      <c r="CB74" s="4"/>
      <c r="CC74" s="12">
        <v>1.0</v>
      </c>
      <c r="CD74" s="1"/>
      <c r="CE74" s="4"/>
      <c r="CF74" s="2">
        <v>2.0</v>
      </c>
      <c r="CG74" s="2">
        <v>2.0</v>
      </c>
      <c r="CH74" s="3">
        <v>1.0</v>
      </c>
      <c r="CI74" s="1"/>
      <c r="CJ74" s="1"/>
      <c r="CK74" s="4"/>
      <c r="CL74" s="15"/>
      <c r="CM74" s="3">
        <v>1.0</v>
      </c>
      <c r="CN74" s="1"/>
      <c r="CO74" s="1"/>
      <c r="CP74" s="1"/>
      <c r="CQ74" s="4"/>
      <c r="CR74" s="15"/>
      <c r="CS74" s="1"/>
      <c r="CT74" s="4"/>
      <c r="CV74" s="1"/>
      <c r="CW74" s="4"/>
    </row>
    <row r="75">
      <c r="A75" s="1"/>
      <c r="C75" s="1">
        <f>sum(B73:B74)</f>
        <v>0</v>
      </c>
      <c r="D75" s="16">
        <f>C75/C$3*2000</f>
        <v>0</v>
      </c>
      <c r="F75" s="1">
        <f>sum(E73:E74)</f>
        <v>1</v>
      </c>
      <c r="G75" s="16">
        <f>F75/F$3*2000</f>
        <v>3.333333333</v>
      </c>
      <c r="I75" s="1">
        <f>sum(H73:H74)</f>
        <v>2</v>
      </c>
      <c r="J75" s="16">
        <f>I75/I$3*2000</f>
        <v>14.41441441</v>
      </c>
      <c r="L75" s="1">
        <f>sum(K73:K74)</f>
        <v>2</v>
      </c>
      <c r="M75" s="16">
        <f>L75/L$3*2000</f>
        <v>7.462686567</v>
      </c>
      <c r="O75" s="1">
        <f>sum(N73:N74)</f>
        <v>10</v>
      </c>
      <c r="P75" s="16">
        <f>O75/O$3*2000</f>
        <v>35.84229391</v>
      </c>
      <c r="Q75" s="1"/>
      <c r="R75" s="3"/>
      <c r="S75" s="3">
        <v>0.0</v>
      </c>
      <c r="T75" s="26">
        <v>0.0</v>
      </c>
      <c r="U75" s="12"/>
      <c r="V75" s="3">
        <v>0.0</v>
      </c>
      <c r="W75" s="26">
        <v>0.0</v>
      </c>
      <c r="X75" s="12"/>
      <c r="Y75" s="1">
        <f>sum(X73:X74)</f>
        <v>1</v>
      </c>
      <c r="Z75" s="16">
        <f>Y75/Y$3*2000</f>
        <v>4.221635884</v>
      </c>
      <c r="AA75" s="12"/>
      <c r="AB75" s="1">
        <f>sum(AA73:AA74)</f>
        <v>0</v>
      </c>
      <c r="AC75" s="16">
        <f>AB75/AB$3*2000</f>
        <v>0</v>
      </c>
      <c r="AD75" s="2"/>
      <c r="AE75" s="1">
        <f>sum(AD73:AD74)</f>
        <v>2</v>
      </c>
      <c r="AF75" s="16">
        <f>AE75/AE$3*2000</f>
        <v>8.533333333</v>
      </c>
      <c r="AG75" s="2"/>
      <c r="AH75" s="1">
        <f>sum(AG73:AG74)</f>
        <v>1</v>
      </c>
      <c r="AI75" s="16">
        <f>AH75/AH$3*2000</f>
        <v>3.490401396</v>
      </c>
      <c r="AJ75" s="2"/>
      <c r="AK75" s="1">
        <f>sum(AJ73:AJ74)</f>
        <v>2</v>
      </c>
      <c r="AL75" s="16">
        <f>AK75/AK$3*2000</f>
        <v>10.05025126</v>
      </c>
      <c r="AM75" s="2"/>
      <c r="AN75" s="1">
        <f>sum(AM73:AM74)</f>
        <v>0</v>
      </c>
      <c r="AO75" s="16">
        <f>AN75/AN$3*2000</f>
        <v>0</v>
      </c>
      <c r="AP75" s="2"/>
      <c r="AQ75" s="1">
        <f>sum(AP73:AP74)</f>
        <v>11</v>
      </c>
      <c r="AR75" s="16">
        <f>AQ75/AQ$3*2000</f>
        <v>11.0775428</v>
      </c>
      <c r="AS75" s="2"/>
      <c r="AT75" s="1">
        <f>sum(AS73:AS74)</f>
        <v>4</v>
      </c>
      <c r="AU75" s="16">
        <f>AT75/AT$3*2000</f>
        <v>3.931203931</v>
      </c>
      <c r="AV75" s="2"/>
      <c r="AW75" s="1">
        <f>sum(AV73:AV74)</f>
        <v>5</v>
      </c>
      <c r="AX75" s="16">
        <f>AW75/AW$3*2000</f>
        <v>4.62962963</v>
      </c>
      <c r="AY75" s="2"/>
      <c r="AZ75" s="2"/>
      <c r="BA75" s="2"/>
      <c r="BB75" s="2"/>
      <c r="BC75" s="3">
        <v>3.0</v>
      </c>
      <c r="BD75" s="18">
        <f>BC75/BC$3*2000</f>
        <v>3.843689942</v>
      </c>
      <c r="BE75" s="2"/>
      <c r="BF75" s="1">
        <f>sum(BE73:BE74)</f>
        <v>2</v>
      </c>
      <c r="BG75" s="16">
        <f>BF75/BF$3*2000</f>
        <v>11.8694362</v>
      </c>
      <c r="BH75" s="3"/>
      <c r="BI75" s="3"/>
      <c r="BJ75" s="3"/>
      <c r="BK75" s="3"/>
      <c r="BL75" s="3">
        <v>3.0</v>
      </c>
      <c r="BM75" s="16">
        <f>BL75/BL$3*2000</f>
        <v>2.033209082</v>
      </c>
      <c r="BN75" s="7"/>
      <c r="BO75" s="1">
        <f>sum(BN73:BN74)</f>
        <v>5</v>
      </c>
      <c r="BP75" s="16">
        <f>BO75/BO$3*2000</f>
        <v>6.41025641</v>
      </c>
      <c r="BQ75" s="7"/>
      <c r="BR75" s="1">
        <f>sum(BQ73:BQ74)</f>
        <v>0</v>
      </c>
      <c r="BS75" s="16">
        <f>BR75/BR$3*2000</f>
        <v>0</v>
      </c>
      <c r="BT75" s="7"/>
      <c r="BU75" s="15">
        <f>sum(BT73:BT74)</f>
        <v>1</v>
      </c>
      <c r="BV75" s="16">
        <f>BU75/BU$3*2000</f>
        <v>4.160166407</v>
      </c>
      <c r="BW75" s="7"/>
      <c r="BX75" s="1">
        <f>sum(BW73:BW74)</f>
        <v>1</v>
      </c>
      <c r="BY75" s="16">
        <f>BX75/BX$3*2000</f>
        <v>1.461988304</v>
      </c>
      <c r="BZ75" s="7"/>
      <c r="CA75" s="1">
        <f>sum(BZ73:BZ74)</f>
        <v>1</v>
      </c>
      <c r="CB75" s="16">
        <f>CA75/CA$3*2000</f>
        <v>3.773584906</v>
      </c>
      <c r="CC75" s="7"/>
      <c r="CD75" s="1">
        <f>sum(CC73:CC74)</f>
        <v>1</v>
      </c>
      <c r="CE75" s="16">
        <f>CD75/CD$3*2000</f>
        <v>3.710575139</v>
      </c>
      <c r="CF75" s="7"/>
      <c r="CH75" s="1"/>
      <c r="CI75" s="1"/>
      <c r="CJ75" s="3">
        <v>5.0</v>
      </c>
      <c r="CK75" s="16">
        <f>CJ75/CJ$3*2000</f>
        <v>3.526093089</v>
      </c>
      <c r="CL75" s="10"/>
      <c r="CM75" s="3"/>
      <c r="CN75" s="1"/>
      <c r="CO75" s="1"/>
      <c r="CP75" s="3">
        <v>1.0</v>
      </c>
      <c r="CQ75" s="16">
        <f>CP75/CP$3*2000</f>
        <v>1.340482574</v>
      </c>
      <c r="CR75" s="10"/>
      <c r="CS75" s="15">
        <f>sum(CR73:CR74)</f>
        <v>0</v>
      </c>
      <c r="CT75" s="16">
        <f>CS75/CS$3*2000</f>
        <v>0</v>
      </c>
      <c r="CV75" s="1">
        <f>sum(CU73:CU74)</f>
        <v>0</v>
      </c>
      <c r="CW75" s="16">
        <f>CV75/CV$3*2000</f>
        <v>0</v>
      </c>
    </row>
    <row r="76">
      <c r="A76" s="48" t="s">
        <v>116</v>
      </c>
      <c r="E76" s="2"/>
      <c r="H76" s="2">
        <v>3.0</v>
      </c>
      <c r="K76" s="2"/>
      <c r="N76" s="2">
        <v>3.0</v>
      </c>
      <c r="U76" s="2">
        <v>8.0</v>
      </c>
      <c r="X76" s="2">
        <v>2.0</v>
      </c>
      <c r="AA76" s="2">
        <v>4.0</v>
      </c>
      <c r="AD76" s="2">
        <v>6.0</v>
      </c>
      <c r="AG76" s="2"/>
      <c r="AJ76" s="2">
        <v>1.0</v>
      </c>
      <c r="AP76" s="2">
        <v>4.0</v>
      </c>
      <c r="AS76" s="2">
        <v>7.0</v>
      </c>
      <c r="AV76" s="2">
        <v>1.0</v>
      </c>
      <c r="BD76" s="39"/>
      <c r="BN76" s="2">
        <v>4.0</v>
      </c>
      <c r="BQ76" s="2">
        <v>1.0</v>
      </c>
      <c r="BT76" s="2"/>
      <c r="BW76" s="2">
        <v>3.0</v>
      </c>
      <c r="CL76" s="2"/>
      <c r="CR76" s="2"/>
    </row>
    <row r="77">
      <c r="A77" s="49" t="s">
        <v>117</v>
      </c>
      <c r="C77" s="1"/>
      <c r="D77" s="4"/>
      <c r="E77" s="12">
        <v>8.0</v>
      </c>
      <c r="F77" s="1"/>
      <c r="G77" s="4"/>
      <c r="H77" s="12">
        <v>3.0</v>
      </c>
      <c r="I77" s="1"/>
      <c r="J77" s="4"/>
      <c r="K77" s="12">
        <v>3.0</v>
      </c>
      <c r="L77" s="1"/>
      <c r="M77" s="4"/>
      <c r="N77" s="12">
        <v>1.0</v>
      </c>
      <c r="O77" s="1"/>
      <c r="P77" s="4"/>
      <c r="Q77" s="1"/>
      <c r="R77" s="1"/>
      <c r="S77" s="1"/>
      <c r="T77" s="4"/>
      <c r="U77" s="12">
        <v>1.0</v>
      </c>
      <c r="V77" s="1"/>
      <c r="W77" s="4"/>
      <c r="X77" s="12">
        <v>1.0</v>
      </c>
      <c r="Y77" s="1"/>
      <c r="Z77" s="4"/>
      <c r="AA77" s="12">
        <v>1.0</v>
      </c>
      <c r="AB77" s="1"/>
      <c r="AC77" s="4"/>
      <c r="AD77" s="2">
        <v>2.0</v>
      </c>
      <c r="AE77" s="1"/>
      <c r="AF77" s="4"/>
      <c r="AG77" s="12">
        <v>8.0</v>
      </c>
      <c r="AH77" s="1"/>
      <c r="AI77" s="4"/>
      <c r="AJ77" s="2">
        <v>9.0</v>
      </c>
      <c r="AK77" s="1"/>
      <c r="AL77" s="4"/>
      <c r="AN77" s="1"/>
      <c r="AO77" s="4"/>
      <c r="AP77" s="7">
        <v>6.0</v>
      </c>
      <c r="AQ77" s="1"/>
      <c r="AR77" s="4"/>
      <c r="AS77" s="7">
        <v>5.0</v>
      </c>
      <c r="AT77" s="1"/>
      <c r="AU77" s="4"/>
      <c r="AV77" s="3">
        <v>1.0</v>
      </c>
      <c r="AW77" s="1"/>
      <c r="AX77" s="4"/>
      <c r="AY77" s="1"/>
      <c r="AZ77" s="1"/>
      <c r="BA77" s="1"/>
      <c r="BB77" s="1"/>
      <c r="BC77" s="1"/>
      <c r="BD77" s="5"/>
      <c r="BE77" s="12">
        <v>1.0</v>
      </c>
      <c r="BF77" s="1"/>
      <c r="BG77" s="4"/>
      <c r="BH77" s="3">
        <v>2.0</v>
      </c>
      <c r="BI77" s="3">
        <v>1.0</v>
      </c>
      <c r="BJ77" s="3">
        <v>0.0</v>
      </c>
      <c r="BK77" s="3">
        <v>0.0</v>
      </c>
      <c r="BL77" s="1"/>
      <c r="BM77" s="4"/>
      <c r="BN77" s="7">
        <v>4.0</v>
      </c>
      <c r="BO77" s="1"/>
      <c r="BP77" s="4"/>
      <c r="BQ77" s="7">
        <v>1.0</v>
      </c>
      <c r="BR77" s="1"/>
      <c r="BS77" s="4"/>
      <c r="BT77" s="15"/>
      <c r="BU77" s="1"/>
      <c r="BV77" s="4"/>
      <c r="BW77" s="7">
        <v>1.0</v>
      </c>
      <c r="BX77" s="1"/>
      <c r="BY77" s="4"/>
      <c r="BZ77" s="7">
        <v>0.0</v>
      </c>
      <c r="CA77" s="1"/>
      <c r="CB77" s="4"/>
      <c r="CC77" s="7"/>
      <c r="CD77" s="1"/>
      <c r="CE77" s="4"/>
      <c r="CH77" s="1"/>
      <c r="CI77" s="1"/>
      <c r="CJ77" s="1"/>
      <c r="CK77" s="4"/>
      <c r="CL77" s="15"/>
      <c r="CM77" s="1"/>
      <c r="CN77" s="1"/>
      <c r="CO77" s="1"/>
      <c r="CP77" s="1"/>
      <c r="CQ77" s="4"/>
      <c r="CR77" s="6">
        <v>1.0</v>
      </c>
      <c r="CS77" s="1"/>
      <c r="CT77" s="4"/>
      <c r="CV77" s="1"/>
      <c r="CW77" s="4"/>
    </row>
    <row r="78">
      <c r="A78" s="49" t="s">
        <v>118</v>
      </c>
      <c r="B78" s="2">
        <v>13.0</v>
      </c>
      <c r="C78" s="1"/>
      <c r="D78" s="26"/>
      <c r="E78" s="12">
        <v>6.0</v>
      </c>
      <c r="F78" s="1"/>
      <c r="G78" s="8"/>
      <c r="H78" s="12">
        <v>4.0</v>
      </c>
      <c r="I78" s="1"/>
      <c r="J78" s="26"/>
      <c r="K78" s="12">
        <v>20.0</v>
      </c>
      <c r="L78" s="1"/>
      <c r="M78" s="8"/>
      <c r="N78" s="12">
        <v>19.0</v>
      </c>
      <c r="O78" s="1"/>
      <c r="P78" s="8"/>
      <c r="Q78" s="3">
        <v>3.0</v>
      </c>
      <c r="R78" s="3">
        <v>5.0</v>
      </c>
      <c r="S78" s="1"/>
      <c r="T78" s="8"/>
      <c r="U78" s="12">
        <v>24.0</v>
      </c>
      <c r="V78" s="1"/>
      <c r="W78" s="8"/>
      <c r="X78" s="12">
        <v>5.0</v>
      </c>
      <c r="Y78" s="1"/>
      <c r="Z78" s="8"/>
      <c r="AA78" s="12">
        <v>19.0</v>
      </c>
      <c r="AB78" s="1"/>
      <c r="AC78" s="8"/>
      <c r="AD78" s="2">
        <v>9.0</v>
      </c>
      <c r="AE78" s="1"/>
      <c r="AF78" s="26"/>
      <c r="AG78" s="12">
        <v>5.0</v>
      </c>
      <c r="AH78" s="1"/>
      <c r="AI78" s="26"/>
      <c r="AJ78" s="2">
        <v>2.0</v>
      </c>
      <c r="AK78" s="1"/>
      <c r="AL78" s="8"/>
      <c r="AN78" s="1"/>
      <c r="AO78" s="8"/>
      <c r="AP78" s="7">
        <v>29.0</v>
      </c>
      <c r="AQ78" s="1"/>
      <c r="AR78" s="8"/>
      <c r="AS78" s="7">
        <v>45.0</v>
      </c>
      <c r="AT78" s="1"/>
      <c r="AU78" s="8"/>
      <c r="AV78" s="12">
        <v>44.0</v>
      </c>
      <c r="AW78" s="1"/>
      <c r="AX78" s="8"/>
      <c r="AY78" s="12"/>
      <c r="AZ78" s="12">
        <v>11.0</v>
      </c>
      <c r="BA78" s="7">
        <v>11.0</v>
      </c>
      <c r="BB78" s="12">
        <v>10.0</v>
      </c>
      <c r="BC78" s="1"/>
      <c r="BD78" s="9"/>
      <c r="BE78" s="12">
        <v>11.0</v>
      </c>
      <c r="BF78" s="1"/>
      <c r="BG78" s="8"/>
      <c r="BH78" s="3">
        <v>11.0</v>
      </c>
      <c r="BI78" s="3">
        <v>9.0</v>
      </c>
      <c r="BJ78" s="3">
        <v>16.0</v>
      </c>
      <c r="BK78" s="3">
        <v>8.0</v>
      </c>
      <c r="BL78" s="1"/>
      <c r="BM78" s="8"/>
      <c r="BN78" s="7">
        <v>20.0</v>
      </c>
      <c r="BO78" s="1"/>
      <c r="BP78" s="8"/>
      <c r="BQ78" s="7">
        <v>17.0</v>
      </c>
      <c r="BR78" s="1"/>
      <c r="BS78" s="8"/>
      <c r="BT78" s="10">
        <v>3.0</v>
      </c>
      <c r="BU78" s="1"/>
      <c r="BV78" s="8"/>
      <c r="BW78" s="7">
        <v>11.0</v>
      </c>
      <c r="BX78" s="1"/>
      <c r="BY78" s="8"/>
      <c r="BZ78" s="7">
        <v>5.0</v>
      </c>
      <c r="CA78" s="1"/>
      <c r="CB78" s="8"/>
      <c r="CC78" s="12">
        <v>2.0</v>
      </c>
      <c r="CD78" s="1"/>
      <c r="CE78" s="8"/>
      <c r="CF78" s="2">
        <v>1.0</v>
      </c>
      <c r="CG78" s="2">
        <v>3.0</v>
      </c>
      <c r="CH78" s="1"/>
      <c r="CI78" s="3">
        <v>2.0</v>
      </c>
      <c r="CJ78" s="1"/>
      <c r="CK78" s="8"/>
      <c r="CL78" s="10"/>
      <c r="CM78" s="1"/>
      <c r="CN78" s="1"/>
      <c r="CO78" s="3">
        <v>2.0</v>
      </c>
      <c r="CP78" s="1"/>
      <c r="CQ78" s="8"/>
      <c r="CR78" s="10">
        <v>7.0</v>
      </c>
      <c r="CS78" s="1"/>
      <c r="CT78" s="8"/>
      <c r="CU78" s="2">
        <v>1.0</v>
      </c>
      <c r="CV78" s="1"/>
      <c r="CW78" s="8"/>
    </row>
    <row r="79">
      <c r="A79" s="50" t="s">
        <v>119</v>
      </c>
      <c r="B79" s="2">
        <v>5.0</v>
      </c>
      <c r="C79" s="1"/>
      <c r="D79" s="4"/>
      <c r="E79" s="12">
        <v>2.0</v>
      </c>
      <c r="F79" s="1"/>
      <c r="G79" s="4"/>
      <c r="H79" s="12"/>
      <c r="I79" s="1"/>
      <c r="J79" s="4"/>
      <c r="K79" s="12">
        <v>2.0</v>
      </c>
      <c r="L79" s="1"/>
      <c r="M79" s="4"/>
      <c r="N79" s="12">
        <v>2.0</v>
      </c>
      <c r="O79" s="1"/>
      <c r="P79" s="4"/>
      <c r="Q79" s="1"/>
      <c r="R79" s="1"/>
      <c r="S79" s="1"/>
      <c r="T79" s="4"/>
      <c r="U79" s="12">
        <v>4.0</v>
      </c>
      <c r="V79" s="1"/>
      <c r="W79" s="4"/>
      <c r="X79" s="12">
        <v>1.0</v>
      </c>
      <c r="Y79" s="1"/>
      <c r="Z79" s="4"/>
      <c r="AA79" s="7"/>
      <c r="AB79" s="1"/>
      <c r="AC79" s="4"/>
      <c r="AD79" s="2">
        <v>1.0</v>
      </c>
      <c r="AE79" s="1"/>
      <c r="AF79" s="4"/>
      <c r="AG79" s="12"/>
      <c r="AH79" s="1"/>
      <c r="AI79" s="4"/>
      <c r="AK79" s="1"/>
      <c r="AL79" s="4"/>
      <c r="AN79" s="1"/>
      <c r="AO79" s="4"/>
      <c r="AP79" s="12">
        <v>5.0</v>
      </c>
      <c r="AQ79" s="1"/>
      <c r="AR79" s="4"/>
      <c r="AS79" s="12">
        <v>4.0</v>
      </c>
      <c r="AT79" s="1"/>
      <c r="AU79" s="4"/>
      <c r="AV79" s="3">
        <v>1.0</v>
      </c>
      <c r="AW79" s="1"/>
      <c r="AX79" s="4"/>
      <c r="AY79" s="1"/>
      <c r="AZ79" s="1"/>
      <c r="BA79" s="1"/>
      <c r="BB79" s="1"/>
      <c r="BC79" s="1"/>
      <c r="BD79" s="5"/>
      <c r="BE79" s="7"/>
      <c r="BF79" s="1"/>
      <c r="BG79" s="4"/>
      <c r="BH79" s="3"/>
      <c r="BI79" s="3"/>
      <c r="BJ79" s="3"/>
      <c r="BK79" s="3"/>
      <c r="BL79" s="1"/>
      <c r="BM79" s="4"/>
      <c r="BN79" s="7"/>
      <c r="BO79" s="1"/>
      <c r="BP79" s="4"/>
      <c r="BQ79" s="12">
        <v>3.0</v>
      </c>
      <c r="BR79" s="1"/>
      <c r="BS79" s="4"/>
      <c r="BT79" s="6"/>
      <c r="BU79" s="1"/>
      <c r="BV79" s="4"/>
      <c r="BW79" s="12">
        <v>2.0</v>
      </c>
      <c r="BX79" s="1"/>
      <c r="BY79" s="4"/>
      <c r="BZ79" s="7"/>
      <c r="CA79" s="1"/>
      <c r="CB79" s="4"/>
      <c r="CC79" s="7"/>
      <c r="CD79" s="1"/>
      <c r="CE79" s="4"/>
      <c r="CH79" s="1"/>
      <c r="CI79" s="1"/>
      <c r="CJ79" s="1"/>
      <c r="CK79" s="4"/>
      <c r="CL79" s="6">
        <v>2.0</v>
      </c>
      <c r="CM79" s="1"/>
      <c r="CN79" s="1"/>
      <c r="CO79" s="1"/>
      <c r="CP79" s="1"/>
      <c r="CQ79" s="4"/>
      <c r="CR79" s="6"/>
      <c r="CS79" s="1"/>
      <c r="CT79" s="4"/>
      <c r="CV79" s="1"/>
      <c r="CW79" s="4"/>
    </row>
    <row r="80">
      <c r="A80" s="50" t="s">
        <v>120</v>
      </c>
      <c r="B80" s="2">
        <v>4.0</v>
      </c>
      <c r="C80" s="1"/>
      <c r="D80" s="4"/>
      <c r="E80" s="12">
        <v>3.0</v>
      </c>
      <c r="F80" s="1"/>
      <c r="G80" s="4"/>
      <c r="H80" s="12">
        <v>2.0</v>
      </c>
      <c r="I80" s="1"/>
      <c r="J80" s="4"/>
      <c r="K80" s="12">
        <v>1.0</v>
      </c>
      <c r="L80" s="1"/>
      <c r="M80" s="4"/>
      <c r="N80" s="12">
        <v>2.0</v>
      </c>
      <c r="O80" s="1"/>
      <c r="P80" s="4"/>
      <c r="Q80" s="1"/>
      <c r="R80" s="1"/>
      <c r="S80" s="1"/>
      <c r="T80" s="4"/>
      <c r="U80" s="12">
        <v>5.0</v>
      </c>
      <c r="V80" s="1"/>
      <c r="W80" s="4"/>
      <c r="X80" s="12">
        <v>6.0</v>
      </c>
      <c r="Y80" s="1"/>
      <c r="Z80" s="4"/>
      <c r="AA80" s="7"/>
      <c r="AB80" s="1"/>
      <c r="AC80" s="4"/>
      <c r="AD80" s="2">
        <v>2.0</v>
      </c>
      <c r="AE80" s="1"/>
      <c r="AF80" s="4"/>
      <c r="AG80" s="12">
        <v>3.0</v>
      </c>
      <c r="AH80" s="1"/>
      <c r="AI80" s="4"/>
      <c r="AK80" s="1"/>
      <c r="AL80" s="4"/>
      <c r="AN80" s="1"/>
      <c r="AO80" s="4"/>
      <c r="AP80" s="12">
        <v>4.0</v>
      </c>
      <c r="AQ80" s="1"/>
      <c r="AR80" s="4"/>
      <c r="AS80" s="12">
        <v>4.0</v>
      </c>
      <c r="AT80" s="1"/>
      <c r="AU80" s="4"/>
      <c r="AV80" s="3">
        <v>6.0</v>
      </c>
      <c r="AW80" s="1"/>
      <c r="AX80" s="4"/>
      <c r="AY80" s="1"/>
      <c r="AZ80" s="1"/>
      <c r="BA80" s="1"/>
      <c r="BB80" s="1"/>
      <c r="BC80" s="1"/>
      <c r="BD80" s="5"/>
      <c r="BE80" s="7"/>
      <c r="BF80" s="1"/>
      <c r="BG80" s="4"/>
      <c r="BH80" s="1"/>
      <c r="BI80" s="1"/>
      <c r="BJ80" s="1"/>
      <c r="BK80" s="1"/>
      <c r="BL80" s="1"/>
      <c r="BM80" s="4"/>
      <c r="BN80" s="7"/>
      <c r="BO80" s="1"/>
      <c r="BP80" s="4"/>
      <c r="BQ80" s="12">
        <v>4.0</v>
      </c>
      <c r="BR80" s="1"/>
      <c r="BS80" s="4"/>
      <c r="BT80" s="6">
        <v>1.0</v>
      </c>
      <c r="BU80" s="1"/>
      <c r="BV80" s="4"/>
      <c r="BW80" s="12">
        <v>5.0</v>
      </c>
      <c r="BX80" s="1"/>
      <c r="BY80" s="4"/>
      <c r="BZ80" s="7"/>
      <c r="CA80" s="1"/>
      <c r="CB80" s="4"/>
      <c r="CC80" s="12">
        <v>1.0</v>
      </c>
      <c r="CD80" s="1"/>
      <c r="CE80" s="4"/>
      <c r="CH80" s="1"/>
      <c r="CI80" s="1"/>
      <c r="CJ80" s="1"/>
      <c r="CK80" s="4"/>
      <c r="CL80" s="15"/>
      <c r="CM80" s="3">
        <v>1.0</v>
      </c>
      <c r="CN80" s="1"/>
      <c r="CO80" s="1"/>
      <c r="CP80" s="1"/>
      <c r="CQ80" s="4"/>
      <c r="CR80" s="15"/>
      <c r="CS80" s="1"/>
      <c r="CT80" s="4"/>
      <c r="CV80" s="1"/>
      <c r="CW80" s="4"/>
    </row>
    <row r="81">
      <c r="A81" s="51" t="s">
        <v>121</v>
      </c>
      <c r="C81" s="1"/>
      <c r="D81" s="4"/>
      <c r="E81" s="12">
        <v>1.0</v>
      </c>
      <c r="F81" s="1"/>
      <c r="G81" s="4"/>
      <c r="H81" s="7"/>
      <c r="I81" s="1"/>
      <c r="J81" s="4"/>
      <c r="K81" s="12">
        <v>1.0</v>
      </c>
      <c r="L81" s="1"/>
      <c r="M81" s="4"/>
      <c r="N81" s="12">
        <v>1.0</v>
      </c>
      <c r="O81" s="1"/>
      <c r="P81" s="4"/>
      <c r="Q81" s="1"/>
      <c r="R81" s="1"/>
      <c r="S81" s="1"/>
      <c r="T81" s="4"/>
      <c r="U81" s="12">
        <v>2.0</v>
      </c>
      <c r="V81" s="1"/>
      <c r="W81" s="4"/>
      <c r="X81" s="12">
        <v>2.0</v>
      </c>
      <c r="Y81" s="1"/>
      <c r="Z81" s="4"/>
      <c r="AA81" s="7"/>
      <c r="AB81" s="1"/>
      <c r="AC81" s="4"/>
      <c r="AD81" s="2">
        <v>1.0</v>
      </c>
      <c r="AE81" s="1"/>
      <c r="AF81" s="4"/>
      <c r="AG81" s="7"/>
      <c r="AH81" s="1"/>
      <c r="AI81" s="4"/>
      <c r="AK81" s="1"/>
      <c r="AL81" s="4"/>
      <c r="AN81" s="1"/>
      <c r="AO81" s="4"/>
      <c r="AP81" s="7">
        <v>0.0</v>
      </c>
      <c r="AQ81" s="1"/>
      <c r="AR81" s="4"/>
      <c r="AS81" s="7">
        <v>1.0</v>
      </c>
      <c r="AT81" s="1"/>
      <c r="AU81" s="4"/>
      <c r="AV81" s="1"/>
      <c r="AW81" s="1"/>
      <c r="AX81" s="4"/>
      <c r="AY81" s="1"/>
      <c r="AZ81" s="1"/>
      <c r="BA81" s="1"/>
      <c r="BB81" s="1"/>
      <c r="BC81" s="1"/>
      <c r="BD81" s="5"/>
      <c r="BE81" s="7"/>
      <c r="BF81" s="1"/>
      <c r="BG81" s="4"/>
      <c r="BH81" s="1"/>
      <c r="BI81" s="1"/>
      <c r="BJ81" s="1"/>
      <c r="BK81" s="1"/>
      <c r="BL81" s="1"/>
      <c r="BM81" s="4"/>
      <c r="BN81" s="7">
        <v>1.0</v>
      </c>
      <c r="BO81" s="1"/>
      <c r="BP81" s="4"/>
      <c r="BQ81" s="7">
        <v>0.0</v>
      </c>
      <c r="BR81" s="1"/>
      <c r="BS81" s="4"/>
      <c r="BT81" s="15"/>
      <c r="BU81" s="1"/>
      <c r="BV81" s="4"/>
      <c r="BW81" s="7">
        <v>0.0</v>
      </c>
      <c r="BX81" s="1"/>
      <c r="BY81" s="4"/>
      <c r="BZ81" s="7">
        <v>0.0</v>
      </c>
      <c r="CA81" s="1"/>
      <c r="CB81" s="4"/>
      <c r="CC81" s="7"/>
      <c r="CD81" s="1"/>
      <c r="CE81" s="4"/>
      <c r="CH81" s="1"/>
      <c r="CI81" s="1"/>
      <c r="CJ81" s="1"/>
      <c r="CK81" s="4"/>
      <c r="CL81" s="15"/>
      <c r="CM81" s="1"/>
      <c r="CN81" s="1"/>
      <c r="CO81" s="1"/>
      <c r="CP81" s="1"/>
      <c r="CQ81" s="4"/>
      <c r="CR81" s="15"/>
      <c r="CS81" s="1"/>
      <c r="CT81" s="4"/>
      <c r="CV81" s="1"/>
      <c r="CW81" s="4"/>
    </row>
    <row r="82">
      <c r="A82" s="51" t="s">
        <v>122</v>
      </c>
      <c r="C82" s="1"/>
      <c r="D82" s="4"/>
      <c r="E82" s="12">
        <v>3.0</v>
      </c>
      <c r="F82" s="1"/>
      <c r="G82" s="4"/>
      <c r="H82" s="12">
        <v>2.0</v>
      </c>
      <c r="I82" s="1"/>
      <c r="J82" s="4"/>
      <c r="K82" s="12">
        <v>2.0</v>
      </c>
      <c r="L82" s="1"/>
      <c r="M82" s="4"/>
      <c r="N82" s="12">
        <v>1.0</v>
      </c>
      <c r="O82" s="1"/>
      <c r="P82" s="4"/>
      <c r="Q82" s="1"/>
      <c r="R82" s="1"/>
      <c r="S82" s="1"/>
      <c r="T82" s="4"/>
      <c r="U82" s="12">
        <v>1.0</v>
      </c>
      <c r="V82" s="1"/>
      <c r="W82" s="4"/>
      <c r="X82" s="7"/>
      <c r="Y82" s="1"/>
      <c r="Z82" s="4"/>
      <c r="AA82" s="7"/>
      <c r="AB82" s="1"/>
      <c r="AC82" s="4"/>
      <c r="AD82" s="2">
        <v>5.0</v>
      </c>
      <c r="AE82" s="1"/>
      <c r="AF82" s="4"/>
      <c r="AG82" s="12">
        <v>1.0</v>
      </c>
      <c r="AH82" s="1"/>
      <c r="AI82" s="4"/>
      <c r="AJ82" s="2">
        <v>1.0</v>
      </c>
      <c r="AK82" s="1"/>
      <c r="AL82" s="4"/>
      <c r="AN82" s="1"/>
      <c r="AO82" s="4"/>
      <c r="AP82" s="7">
        <v>0.0</v>
      </c>
      <c r="AQ82" s="1"/>
      <c r="AR82" s="4"/>
      <c r="AS82" s="7">
        <v>4.0</v>
      </c>
      <c r="AT82" s="1"/>
      <c r="AU82" s="4"/>
      <c r="AV82" s="3">
        <v>1.0</v>
      </c>
      <c r="AW82" s="1"/>
      <c r="AX82" s="4"/>
      <c r="AY82" s="1"/>
      <c r="AZ82" s="1"/>
      <c r="BA82" s="1"/>
      <c r="BB82" s="1"/>
      <c r="BC82" s="1"/>
      <c r="BD82" s="5"/>
      <c r="BE82" s="7"/>
      <c r="BF82" s="1"/>
      <c r="BG82" s="4"/>
      <c r="BH82" s="1"/>
      <c r="BI82" s="1"/>
      <c r="BJ82" s="1"/>
      <c r="BK82" s="1"/>
      <c r="BL82" s="1"/>
      <c r="BM82" s="4"/>
      <c r="BN82" s="7">
        <v>0.0</v>
      </c>
      <c r="BO82" s="1"/>
      <c r="BP82" s="4"/>
      <c r="BQ82" s="7">
        <v>0.0</v>
      </c>
      <c r="BR82" s="1"/>
      <c r="BS82" s="4"/>
      <c r="BT82" s="6"/>
      <c r="BU82" s="1"/>
      <c r="BV82" s="4"/>
      <c r="BW82" s="7">
        <v>0.0</v>
      </c>
      <c r="BX82" s="1"/>
      <c r="BY82" s="4"/>
      <c r="BZ82" s="7">
        <v>0.0</v>
      </c>
      <c r="CA82" s="1"/>
      <c r="CB82" s="4"/>
      <c r="CC82" s="7"/>
      <c r="CD82" s="1"/>
      <c r="CE82" s="4"/>
      <c r="CH82" s="1"/>
      <c r="CI82" s="1"/>
      <c r="CJ82" s="1"/>
      <c r="CK82" s="4"/>
      <c r="CL82" s="6"/>
      <c r="CM82" s="1"/>
      <c r="CN82" s="1"/>
      <c r="CO82" s="1"/>
      <c r="CP82" s="1"/>
      <c r="CQ82" s="4"/>
      <c r="CR82" s="6"/>
      <c r="CS82" s="1"/>
      <c r="CT82" s="4"/>
      <c r="CV82" s="1"/>
      <c r="CW82" s="4"/>
    </row>
    <row r="83">
      <c r="A83" s="49" t="s">
        <v>123</v>
      </c>
      <c r="B83" s="2">
        <v>7.0</v>
      </c>
      <c r="C83" s="1"/>
      <c r="D83" s="8"/>
      <c r="E83" s="12">
        <v>1.0</v>
      </c>
      <c r="F83" s="1"/>
      <c r="G83" s="8"/>
      <c r="H83" s="12">
        <v>1.0</v>
      </c>
      <c r="I83" s="1"/>
      <c r="J83" s="8"/>
      <c r="K83" s="12">
        <v>6.0</v>
      </c>
      <c r="L83" s="1"/>
      <c r="M83" s="8"/>
      <c r="N83" s="12">
        <v>3.0</v>
      </c>
      <c r="O83" s="1"/>
      <c r="P83" s="8"/>
      <c r="Q83" s="3">
        <v>16.0</v>
      </c>
      <c r="R83" s="3">
        <v>8.0</v>
      </c>
      <c r="S83" s="1"/>
      <c r="T83" s="8"/>
      <c r="U83" s="12">
        <v>1.0</v>
      </c>
      <c r="V83" s="1"/>
      <c r="W83" s="8"/>
      <c r="X83" s="12">
        <v>1.0</v>
      </c>
      <c r="Y83" s="1"/>
      <c r="Z83" s="8"/>
      <c r="AA83" s="12">
        <v>13.0</v>
      </c>
      <c r="AB83" s="1"/>
      <c r="AC83" s="8"/>
      <c r="AD83" s="2">
        <v>2.0</v>
      </c>
      <c r="AE83" s="1"/>
      <c r="AF83" s="8"/>
      <c r="AG83" s="12">
        <v>3.0</v>
      </c>
      <c r="AH83" s="1"/>
      <c r="AI83" s="8"/>
      <c r="AJ83" s="2">
        <v>9.0</v>
      </c>
      <c r="AK83" s="1"/>
      <c r="AL83" s="8"/>
      <c r="AM83" s="2">
        <v>2.0</v>
      </c>
      <c r="AN83" s="1"/>
      <c r="AO83" s="8"/>
      <c r="AP83" s="7">
        <v>62.0</v>
      </c>
      <c r="AQ83" s="1"/>
      <c r="AR83" s="8"/>
      <c r="AS83" s="7">
        <v>58.0</v>
      </c>
      <c r="AT83" s="1"/>
      <c r="AU83" s="8"/>
      <c r="AV83" s="12">
        <v>121.0</v>
      </c>
      <c r="AW83" s="1"/>
      <c r="AX83" s="8"/>
      <c r="AY83" s="12"/>
      <c r="AZ83" s="12">
        <v>28.0</v>
      </c>
      <c r="BA83" s="7">
        <v>20.0</v>
      </c>
      <c r="BB83" s="12">
        <v>20.0</v>
      </c>
      <c r="BC83" s="1"/>
      <c r="BD83" s="9"/>
      <c r="BE83" s="12">
        <v>3.0</v>
      </c>
      <c r="BF83" s="1"/>
      <c r="BG83" s="8"/>
      <c r="BH83" s="3">
        <v>36.0</v>
      </c>
      <c r="BI83" s="3">
        <v>12.0</v>
      </c>
      <c r="BJ83" s="3">
        <v>25.0</v>
      </c>
      <c r="BK83" s="3">
        <v>20.0</v>
      </c>
      <c r="BL83" s="1"/>
      <c r="BM83" s="8"/>
      <c r="BN83" s="7">
        <v>57.0</v>
      </c>
      <c r="BO83" s="1"/>
      <c r="BP83" s="8"/>
      <c r="BQ83" s="7">
        <v>45.0</v>
      </c>
      <c r="BR83" s="1"/>
      <c r="BS83" s="8"/>
      <c r="BT83" s="10">
        <v>10.0</v>
      </c>
      <c r="BU83" s="1"/>
      <c r="BV83" s="8"/>
      <c r="BW83" s="7">
        <v>40.0</v>
      </c>
      <c r="BX83" s="1"/>
      <c r="BY83" s="8"/>
      <c r="BZ83" s="7">
        <v>18.0</v>
      </c>
      <c r="CA83" s="1"/>
      <c r="CB83" s="8"/>
      <c r="CC83" s="12">
        <v>18.0</v>
      </c>
      <c r="CD83" s="1"/>
      <c r="CE83" s="8"/>
      <c r="CF83" s="2">
        <v>13.0</v>
      </c>
      <c r="CG83" s="2">
        <v>15.0</v>
      </c>
      <c r="CH83" s="3">
        <v>9.0</v>
      </c>
      <c r="CI83" s="3">
        <v>3.0</v>
      </c>
      <c r="CJ83" s="1"/>
      <c r="CK83" s="8"/>
      <c r="CL83" s="10">
        <v>16.0</v>
      </c>
      <c r="CM83" s="3">
        <v>11.0</v>
      </c>
      <c r="CN83" s="3">
        <v>9.0</v>
      </c>
      <c r="CO83" s="3">
        <v>6.0</v>
      </c>
      <c r="CP83" s="1"/>
      <c r="CQ83" s="8"/>
      <c r="CR83" s="10">
        <v>37.0</v>
      </c>
      <c r="CS83" s="1"/>
      <c r="CT83" s="8"/>
      <c r="CU83" s="2">
        <v>1.0</v>
      </c>
      <c r="CV83" s="1"/>
      <c r="CW83" s="8"/>
    </row>
    <row r="84">
      <c r="A84" s="51" t="s">
        <v>124</v>
      </c>
      <c r="C84" s="1"/>
      <c r="D84" s="4"/>
      <c r="E84" s="7"/>
      <c r="F84" s="1"/>
      <c r="G84" s="4"/>
      <c r="H84" s="7"/>
      <c r="I84" s="1"/>
      <c r="J84" s="4"/>
      <c r="K84" s="12">
        <v>2.0</v>
      </c>
      <c r="L84" s="1"/>
      <c r="M84" s="4"/>
      <c r="N84" s="7"/>
      <c r="O84" s="1"/>
      <c r="P84" s="4"/>
      <c r="Q84" s="1"/>
      <c r="R84" s="1"/>
      <c r="S84" s="1"/>
      <c r="T84" s="4"/>
      <c r="U84" s="12">
        <v>1.0</v>
      </c>
      <c r="V84" s="1"/>
      <c r="W84" s="4"/>
      <c r="X84" s="7"/>
      <c r="Y84" s="1"/>
      <c r="Z84" s="4"/>
      <c r="AA84" s="7"/>
      <c r="AB84" s="1"/>
      <c r="AC84" s="4"/>
      <c r="AE84" s="1"/>
      <c r="AF84" s="4"/>
      <c r="AG84" s="7"/>
      <c r="AH84" s="1"/>
      <c r="AI84" s="4"/>
      <c r="AK84" s="1"/>
      <c r="AL84" s="4"/>
      <c r="AN84" s="1"/>
      <c r="AO84" s="4"/>
      <c r="AP84" s="7">
        <v>2.0</v>
      </c>
      <c r="AQ84" s="1"/>
      <c r="AR84" s="4"/>
      <c r="AS84" s="7">
        <v>1.0</v>
      </c>
      <c r="AT84" s="1"/>
      <c r="AU84" s="4"/>
      <c r="AV84" s="1"/>
      <c r="AW84" s="1"/>
      <c r="AX84" s="4"/>
      <c r="AY84" s="1"/>
      <c r="AZ84" s="1"/>
      <c r="BA84" s="1"/>
      <c r="BB84" s="1"/>
      <c r="BC84" s="1"/>
      <c r="BD84" s="5"/>
      <c r="BE84" s="7"/>
      <c r="BF84" s="1"/>
      <c r="BG84" s="4"/>
      <c r="BH84" s="1"/>
      <c r="BI84" s="1"/>
      <c r="BJ84" s="1"/>
      <c r="BK84" s="3">
        <v>1.0</v>
      </c>
      <c r="BL84" s="1"/>
      <c r="BM84" s="4"/>
      <c r="BN84" s="7">
        <v>0.0</v>
      </c>
      <c r="BO84" s="1"/>
      <c r="BP84" s="4"/>
      <c r="BQ84" s="7">
        <v>0.0</v>
      </c>
      <c r="BR84" s="1"/>
      <c r="BS84" s="4"/>
      <c r="BT84" s="6"/>
      <c r="BU84" s="1"/>
      <c r="BV84" s="4"/>
      <c r="BW84" s="7">
        <v>0.0</v>
      </c>
      <c r="BX84" s="1"/>
      <c r="BY84" s="4"/>
      <c r="BZ84" s="7">
        <v>0.0</v>
      </c>
      <c r="CA84" s="1"/>
      <c r="CB84" s="4"/>
      <c r="CC84" s="7"/>
      <c r="CD84" s="1"/>
      <c r="CE84" s="4"/>
      <c r="CH84" s="1"/>
      <c r="CI84" s="1"/>
      <c r="CJ84" s="1"/>
      <c r="CK84" s="4"/>
      <c r="CL84" s="6"/>
      <c r="CM84" s="1"/>
      <c r="CN84" s="1"/>
      <c r="CO84" s="1"/>
      <c r="CP84" s="1"/>
      <c r="CQ84" s="4"/>
      <c r="CR84" s="6"/>
      <c r="CS84" s="1"/>
      <c r="CT84" s="4"/>
      <c r="CV84" s="1"/>
      <c r="CW84" s="4"/>
    </row>
    <row r="85">
      <c r="A85" s="52" t="s">
        <v>125</v>
      </c>
      <c r="C85" s="1"/>
      <c r="D85" s="26">
        <v>2.0</v>
      </c>
      <c r="E85" s="12">
        <v>1.0</v>
      </c>
      <c r="F85" s="1"/>
      <c r="G85" s="8"/>
      <c r="H85" s="7"/>
      <c r="I85" s="1"/>
      <c r="J85" s="8"/>
      <c r="K85" s="7"/>
      <c r="L85" s="1"/>
      <c r="M85" s="8"/>
      <c r="N85" s="12"/>
      <c r="O85" s="1"/>
      <c r="P85" s="8"/>
      <c r="Q85" s="20">
        <v>20.0</v>
      </c>
      <c r="R85" s="3">
        <v>22.0</v>
      </c>
      <c r="S85" s="1"/>
      <c r="T85" s="8"/>
      <c r="U85" s="12">
        <v>1.0</v>
      </c>
      <c r="V85" s="1"/>
      <c r="W85" s="8"/>
      <c r="X85" s="12">
        <v>3.0</v>
      </c>
      <c r="Y85" s="1"/>
      <c r="Z85" s="8"/>
      <c r="AA85" s="12">
        <v>13.0</v>
      </c>
      <c r="AB85" s="1"/>
      <c r="AC85" s="8"/>
      <c r="AE85" s="1"/>
      <c r="AF85" s="8"/>
      <c r="AG85" s="12">
        <v>6.0</v>
      </c>
      <c r="AH85" s="1"/>
      <c r="AI85" s="8"/>
      <c r="AJ85" s="2">
        <v>2.0</v>
      </c>
      <c r="AK85" s="1"/>
      <c r="AL85" s="8"/>
      <c r="AN85" s="1"/>
      <c r="AO85" s="8"/>
      <c r="AP85" s="7">
        <v>32.0</v>
      </c>
      <c r="AQ85" s="1"/>
      <c r="AR85" s="8"/>
      <c r="AS85" s="7">
        <v>27.0</v>
      </c>
      <c r="AT85" s="1"/>
      <c r="AU85" s="8"/>
      <c r="AV85" s="12">
        <v>54.0</v>
      </c>
      <c r="AW85" s="1"/>
      <c r="AX85" s="8"/>
      <c r="AY85" s="12"/>
      <c r="AZ85" s="12">
        <v>12.0</v>
      </c>
      <c r="BA85" s="7">
        <v>19.0</v>
      </c>
      <c r="BB85" s="12">
        <v>16.0</v>
      </c>
      <c r="BC85" s="1"/>
      <c r="BD85" s="9"/>
      <c r="BE85" s="12">
        <v>8.0</v>
      </c>
      <c r="BF85" s="1"/>
      <c r="BG85" s="8"/>
      <c r="BH85" s="3">
        <v>14.0</v>
      </c>
      <c r="BI85" s="3">
        <v>9.0</v>
      </c>
      <c r="BJ85" s="3">
        <v>13.0</v>
      </c>
      <c r="BK85" s="3">
        <v>4.0</v>
      </c>
      <c r="BL85" s="1"/>
      <c r="BM85" s="8"/>
      <c r="BN85" s="7">
        <v>18.0</v>
      </c>
      <c r="BO85" s="1"/>
      <c r="BP85" s="8"/>
      <c r="BQ85" s="7">
        <v>6.0</v>
      </c>
      <c r="BR85" s="1"/>
      <c r="BS85" s="8"/>
      <c r="BT85" s="10">
        <v>2.0</v>
      </c>
      <c r="BU85" s="1"/>
      <c r="BV85" s="8"/>
      <c r="BW85" s="7">
        <v>16.0</v>
      </c>
      <c r="BX85" s="1"/>
      <c r="BY85" s="8"/>
      <c r="BZ85" s="7">
        <v>3.0</v>
      </c>
      <c r="CA85" s="1"/>
      <c r="CB85" s="8"/>
      <c r="CC85" s="12">
        <v>3.0</v>
      </c>
      <c r="CD85" s="1"/>
      <c r="CE85" s="8"/>
      <c r="CF85" s="2">
        <v>7.0</v>
      </c>
      <c r="CG85" s="2">
        <v>16.0</v>
      </c>
      <c r="CH85" s="3">
        <v>6.0</v>
      </c>
      <c r="CI85" s="3">
        <v>6.0</v>
      </c>
      <c r="CJ85" s="1"/>
      <c r="CK85" s="8"/>
      <c r="CL85" s="10">
        <v>2.0</v>
      </c>
      <c r="CM85" s="3">
        <v>1.0</v>
      </c>
      <c r="CN85" s="3">
        <v>1.0</v>
      </c>
      <c r="CO85" s="3">
        <v>1.0</v>
      </c>
      <c r="CP85" s="1"/>
      <c r="CQ85" s="8"/>
      <c r="CR85" s="10">
        <v>13.0</v>
      </c>
      <c r="CS85" s="1"/>
      <c r="CT85" s="8"/>
      <c r="CV85" s="1"/>
      <c r="CW85" s="8"/>
    </row>
    <row r="86">
      <c r="A86" s="49" t="s">
        <v>126</v>
      </c>
      <c r="C86" s="1"/>
      <c r="D86" s="8"/>
      <c r="E86" s="12">
        <v>5.0</v>
      </c>
      <c r="F86" s="1"/>
      <c r="G86" s="8"/>
      <c r="H86" s="7"/>
      <c r="I86" s="1"/>
      <c r="J86" s="8"/>
      <c r="K86" s="12">
        <v>11.0</v>
      </c>
      <c r="L86" s="1"/>
      <c r="M86" s="8"/>
      <c r="N86" s="12">
        <v>5.0</v>
      </c>
      <c r="O86" s="1"/>
      <c r="P86" s="8"/>
      <c r="Q86" s="3">
        <v>19.0</v>
      </c>
      <c r="R86" s="3">
        <v>20.0</v>
      </c>
      <c r="S86" s="1"/>
      <c r="T86" s="8"/>
      <c r="U86" s="12">
        <v>6.0</v>
      </c>
      <c r="V86" s="1"/>
      <c r="W86" s="8"/>
      <c r="X86" s="12"/>
      <c r="Y86" s="1"/>
      <c r="Z86" s="8"/>
      <c r="AA86" s="12">
        <v>4.0</v>
      </c>
      <c r="AB86" s="1"/>
      <c r="AC86" s="8"/>
      <c r="AD86" s="2">
        <v>3.0</v>
      </c>
      <c r="AE86" s="1"/>
      <c r="AF86" s="8"/>
      <c r="AG86" s="12">
        <v>2.0</v>
      </c>
      <c r="AH86" s="1"/>
      <c r="AI86" s="8"/>
      <c r="AJ86" s="2">
        <v>4.0</v>
      </c>
      <c r="AK86" s="1"/>
      <c r="AL86" s="8"/>
      <c r="AM86" s="2">
        <v>14.0</v>
      </c>
      <c r="AN86" s="1"/>
      <c r="AO86" s="8"/>
      <c r="AP86" s="7">
        <v>38.0</v>
      </c>
      <c r="AQ86" s="1"/>
      <c r="AR86" s="8"/>
      <c r="AS86" s="7">
        <v>44.0</v>
      </c>
      <c r="AT86" s="1"/>
      <c r="AU86" s="8"/>
      <c r="AV86" s="12">
        <v>74.0</v>
      </c>
      <c r="AW86" s="1"/>
      <c r="AX86" s="8"/>
      <c r="AY86" s="12"/>
      <c r="AZ86" s="12">
        <v>25.0</v>
      </c>
      <c r="BA86" s="7">
        <v>25.0</v>
      </c>
      <c r="BB86" s="12">
        <v>15.0</v>
      </c>
      <c r="BC86" s="1"/>
      <c r="BD86" s="9"/>
      <c r="BE86" s="12">
        <v>4.0</v>
      </c>
      <c r="BF86" s="1"/>
      <c r="BG86" s="8"/>
      <c r="BH86" s="3">
        <v>31.0</v>
      </c>
      <c r="BI86" s="3">
        <v>33.0</v>
      </c>
      <c r="BJ86" s="3">
        <v>44.0</v>
      </c>
      <c r="BK86" s="3">
        <v>26.0</v>
      </c>
      <c r="BL86" s="1"/>
      <c r="BM86" s="8"/>
      <c r="BN86" s="7">
        <v>28.0</v>
      </c>
      <c r="BO86" s="1"/>
      <c r="BP86" s="8"/>
      <c r="BQ86" s="7">
        <v>20.0</v>
      </c>
      <c r="BR86" s="1"/>
      <c r="BS86" s="8"/>
      <c r="BT86" s="10">
        <v>8.0</v>
      </c>
      <c r="BU86" s="1"/>
      <c r="BV86" s="8"/>
      <c r="BW86" s="7">
        <v>26.0</v>
      </c>
      <c r="BX86" s="1"/>
      <c r="BY86" s="8"/>
      <c r="BZ86" s="7">
        <v>7.0</v>
      </c>
      <c r="CA86" s="1"/>
      <c r="CB86" s="8"/>
      <c r="CC86" s="12">
        <v>9.0</v>
      </c>
      <c r="CD86" s="1"/>
      <c r="CE86" s="8"/>
      <c r="CF86" s="2">
        <v>52.0</v>
      </c>
      <c r="CG86" s="2">
        <v>36.0</v>
      </c>
      <c r="CH86" s="3">
        <v>10.0</v>
      </c>
      <c r="CI86" s="3">
        <v>15.0</v>
      </c>
      <c r="CJ86" s="1"/>
      <c r="CK86" s="8"/>
      <c r="CL86" s="10">
        <v>9.0</v>
      </c>
      <c r="CM86" s="3">
        <v>16.0</v>
      </c>
      <c r="CN86" s="3">
        <v>6.0</v>
      </c>
      <c r="CO86" s="3">
        <v>10.0</v>
      </c>
      <c r="CP86" s="1"/>
      <c r="CQ86" s="8"/>
      <c r="CR86" s="10">
        <v>47.0</v>
      </c>
      <c r="CS86" s="1"/>
      <c r="CT86" s="8"/>
      <c r="CU86" s="2">
        <v>33.0</v>
      </c>
      <c r="CV86" s="1"/>
      <c r="CW86" s="8"/>
    </row>
    <row r="87">
      <c r="A87" s="49" t="s">
        <v>127</v>
      </c>
      <c r="C87" s="1"/>
      <c r="D87" s="8"/>
      <c r="E87" s="12">
        <v>5.0</v>
      </c>
      <c r="F87" s="1"/>
      <c r="G87" s="8"/>
      <c r="H87" s="12">
        <v>2.0</v>
      </c>
      <c r="I87" s="1"/>
      <c r="J87" s="8"/>
      <c r="K87" s="12">
        <v>2.0</v>
      </c>
      <c r="L87" s="1"/>
      <c r="M87" s="8"/>
      <c r="N87" s="12">
        <v>2.0</v>
      </c>
      <c r="O87" s="1"/>
      <c r="P87" s="8"/>
      <c r="Q87" s="3">
        <v>16.0</v>
      </c>
      <c r="R87" s="3">
        <v>14.0</v>
      </c>
      <c r="S87" s="1"/>
      <c r="T87" s="8"/>
      <c r="U87" s="12"/>
      <c r="V87" s="1"/>
      <c r="W87" s="8"/>
      <c r="X87" s="12">
        <v>3.0</v>
      </c>
      <c r="Y87" s="1"/>
      <c r="Z87" s="8"/>
      <c r="AA87" s="12">
        <v>11.0</v>
      </c>
      <c r="AB87" s="1"/>
      <c r="AC87" s="8"/>
      <c r="AD87" s="2">
        <v>4.0</v>
      </c>
      <c r="AE87" s="1"/>
      <c r="AF87" s="8"/>
      <c r="AG87" s="12">
        <v>3.0</v>
      </c>
      <c r="AH87" s="1"/>
      <c r="AI87" s="8"/>
      <c r="AK87" s="1"/>
      <c r="AL87" s="8"/>
      <c r="AM87" s="2">
        <v>4.0</v>
      </c>
      <c r="AN87" s="1"/>
      <c r="AO87" s="8"/>
      <c r="AP87" s="7">
        <v>28.0</v>
      </c>
      <c r="AQ87" s="1"/>
      <c r="AR87" s="8"/>
      <c r="AS87" s="7">
        <v>22.0</v>
      </c>
      <c r="AT87" s="1"/>
      <c r="AU87" s="8"/>
      <c r="AV87" s="12">
        <v>44.0</v>
      </c>
      <c r="AW87" s="1"/>
      <c r="AX87" s="8"/>
      <c r="AY87" s="12"/>
      <c r="AZ87" s="12">
        <v>23.0</v>
      </c>
      <c r="BA87" s="7">
        <v>8.0</v>
      </c>
      <c r="BB87" s="12">
        <v>49.0</v>
      </c>
      <c r="BC87" s="1"/>
      <c r="BD87" s="9"/>
      <c r="BE87" s="12">
        <v>4.0</v>
      </c>
      <c r="BF87" s="1"/>
      <c r="BG87" s="8"/>
      <c r="BH87" s="3">
        <v>38.0</v>
      </c>
      <c r="BI87" s="3">
        <v>24.0</v>
      </c>
      <c r="BJ87" s="3">
        <v>8.0</v>
      </c>
      <c r="BK87" s="3">
        <v>14.0</v>
      </c>
      <c r="BL87" s="1"/>
      <c r="BM87" s="8"/>
      <c r="BN87" s="7">
        <v>15.0</v>
      </c>
      <c r="BO87" s="1"/>
      <c r="BP87" s="8"/>
      <c r="BQ87" s="7">
        <v>13.0</v>
      </c>
      <c r="BR87" s="1"/>
      <c r="BS87" s="8"/>
      <c r="BT87" s="10">
        <v>9.0</v>
      </c>
      <c r="BU87" s="1"/>
      <c r="BV87" s="8"/>
      <c r="BW87" s="7">
        <v>9.0</v>
      </c>
      <c r="BX87" s="1"/>
      <c r="BY87" s="8"/>
      <c r="BZ87" s="7">
        <v>9.0</v>
      </c>
      <c r="CA87" s="1"/>
      <c r="CB87" s="8"/>
      <c r="CC87" s="12">
        <v>12.0</v>
      </c>
      <c r="CD87" s="1"/>
      <c r="CE87" s="8"/>
      <c r="CF87" s="2">
        <v>18.0</v>
      </c>
      <c r="CG87" s="2">
        <v>7.0</v>
      </c>
      <c r="CH87" s="3">
        <v>23.0</v>
      </c>
      <c r="CI87" s="3">
        <v>5.0</v>
      </c>
      <c r="CJ87" s="1"/>
      <c r="CK87" s="8"/>
      <c r="CL87" s="10">
        <v>4.0</v>
      </c>
      <c r="CM87" s="3">
        <v>4.0</v>
      </c>
      <c r="CN87" s="3">
        <v>3.0</v>
      </c>
      <c r="CO87" s="3">
        <v>5.0</v>
      </c>
      <c r="CP87" s="1"/>
      <c r="CQ87" s="8"/>
      <c r="CR87" s="10">
        <v>32.0</v>
      </c>
      <c r="CS87" s="1"/>
      <c r="CT87" s="8"/>
      <c r="CU87" s="2">
        <v>11.0</v>
      </c>
      <c r="CV87" s="1"/>
      <c r="CW87" s="8"/>
    </row>
    <row r="88">
      <c r="A88" s="50" t="s">
        <v>94</v>
      </c>
      <c r="C88" s="1"/>
      <c r="D88" s="8"/>
      <c r="E88" s="12"/>
      <c r="F88" s="1"/>
      <c r="G88" s="8"/>
      <c r="H88" s="12"/>
      <c r="I88" s="1"/>
      <c r="J88" s="8"/>
      <c r="K88" s="12"/>
      <c r="L88" s="1"/>
      <c r="M88" s="8"/>
      <c r="N88" s="12"/>
      <c r="O88" s="1"/>
      <c r="P88" s="8"/>
      <c r="Q88" s="1"/>
      <c r="R88" s="1"/>
      <c r="S88" s="1"/>
      <c r="T88" s="8"/>
      <c r="U88" s="12"/>
      <c r="V88" s="1"/>
      <c r="W88" s="8"/>
      <c r="X88" s="12"/>
      <c r="Y88" s="1"/>
      <c r="Z88" s="8"/>
      <c r="AA88" s="12"/>
      <c r="AB88" s="1"/>
      <c r="AC88" s="8"/>
      <c r="AD88" s="2">
        <v>1.0</v>
      </c>
      <c r="AE88" s="1"/>
      <c r="AF88" s="8"/>
      <c r="AG88" s="12">
        <v>2.0</v>
      </c>
      <c r="AH88" s="1"/>
      <c r="AI88" s="8"/>
      <c r="AK88" s="1"/>
      <c r="AL88" s="8"/>
      <c r="AN88" s="1"/>
      <c r="AO88" s="8"/>
      <c r="AP88" s="12"/>
      <c r="AQ88" s="1"/>
      <c r="AR88" s="8"/>
      <c r="AS88" s="12"/>
      <c r="AT88" s="1"/>
      <c r="AU88" s="8"/>
      <c r="AV88" s="12"/>
      <c r="AW88" s="1"/>
      <c r="AX88" s="8"/>
      <c r="AY88" s="7"/>
      <c r="AZ88" s="7"/>
      <c r="BA88" s="7"/>
      <c r="BB88" s="7"/>
      <c r="BC88" s="1"/>
      <c r="BD88" s="9"/>
      <c r="BE88" s="12"/>
      <c r="BF88" s="1"/>
      <c r="BG88" s="8"/>
      <c r="BH88" s="3"/>
      <c r="BI88" s="3"/>
      <c r="BJ88" s="3"/>
      <c r="BK88" s="3"/>
      <c r="BL88" s="1"/>
      <c r="BM88" s="8"/>
      <c r="BN88" s="7"/>
      <c r="BO88" s="1"/>
      <c r="BP88" s="8"/>
      <c r="BQ88" s="7"/>
      <c r="BR88" s="1"/>
      <c r="BS88" s="8"/>
      <c r="BT88" s="10"/>
      <c r="BU88" s="1"/>
      <c r="BV88" s="8"/>
      <c r="BW88" s="7"/>
      <c r="BX88" s="1"/>
      <c r="BY88" s="8"/>
      <c r="BZ88" s="7"/>
      <c r="CA88" s="1"/>
      <c r="CB88" s="8"/>
      <c r="CC88" s="12"/>
      <c r="CD88" s="1"/>
      <c r="CE88" s="8"/>
      <c r="CH88" s="1"/>
      <c r="CI88" s="1"/>
      <c r="CJ88" s="1"/>
      <c r="CK88" s="8"/>
      <c r="CL88" s="10"/>
      <c r="CM88" s="1"/>
      <c r="CN88" s="1"/>
      <c r="CO88" s="1"/>
      <c r="CP88" s="1"/>
      <c r="CQ88" s="8"/>
      <c r="CR88" s="10"/>
      <c r="CS88" s="1"/>
      <c r="CT88" s="8"/>
      <c r="CV88" s="1"/>
      <c r="CW88" s="8"/>
    </row>
    <row r="89">
      <c r="A89" s="50" t="s">
        <v>128</v>
      </c>
      <c r="B89" s="2">
        <v>6.0</v>
      </c>
      <c r="C89" s="1"/>
      <c r="D89" s="8"/>
      <c r="E89" s="12">
        <v>4.0</v>
      </c>
      <c r="F89" s="1"/>
      <c r="G89" s="8"/>
      <c r="H89" s="12">
        <v>1.0</v>
      </c>
      <c r="I89" s="1"/>
      <c r="J89" s="8"/>
      <c r="K89" s="12">
        <v>1.0</v>
      </c>
      <c r="L89" s="1"/>
      <c r="M89" s="8"/>
      <c r="N89" s="12">
        <v>2.0</v>
      </c>
      <c r="O89" s="1"/>
      <c r="P89" s="8"/>
      <c r="Q89" s="1"/>
      <c r="R89" s="1"/>
      <c r="S89" s="1"/>
      <c r="T89" s="8"/>
      <c r="U89" s="12">
        <v>2.0</v>
      </c>
      <c r="V89" s="1"/>
      <c r="W89" s="8"/>
      <c r="X89" s="12"/>
      <c r="Y89" s="1"/>
      <c r="Z89" s="8"/>
      <c r="AA89" s="12">
        <v>0.0</v>
      </c>
      <c r="AB89" s="1"/>
      <c r="AC89" s="8"/>
      <c r="AE89" s="1"/>
      <c r="AF89" s="8"/>
      <c r="AG89" s="12">
        <v>4.0</v>
      </c>
      <c r="AH89" s="1"/>
      <c r="AI89" s="8"/>
      <c r="AJ89" s="2">
        <v>1.0</v>
      </c>
      <c r="AK89" s="1"/>
      <c r="AL89" s="8"/>
      <c r="AN89" s="1"/>
      <c r="AO89" s="8"/>
      <c r="AP89" s="12">
        <v>1.0</v>
      </c>
      <c r="AQ89" s="1"/>
      <c r="AR89" s="8"/>
      <c r="AS89" s="12">
        <v>3.0</v>
      </c>
      <c r="AT89" s="1"/>
      <c r="AU89" s="8"/>
      <c r="AV89" s="12">
        <v>0.0</v>
      </c>
      <c r="AW89" s="1"/>
      <c r="AX89" s="8"/>
      <c r="AY89" s="7"/>
      <c r="AZ89" s="7"/>
      <c r="BA89" s="7"/>
      <c r="BB89" s="7"/>
      <c r="BC89" s="1"/>
      <c r="BD89" s="9"/>
      <c r="BE89" s="12"/>
      <c r="BF89" s="1"/>
      <c r="BG89" s="8"/>
      <c r="BH89" s="3"/>
      <c r="BI89" s="3"/>
      <c r="BJ89" s="3"/>
      <c r="BK89" s="3"/>
      <c r="BL89" s="1"/>
      <c r="BM89" s="8"/>
      <c r="BN89" s="7"/>
      <c r="BO89" s="1"/>
      <c r="BP89" s="8"/>
      <c r="BQ89" s="7"/>
      <c r="BR89" s="1"/>
      <c r="BS89" s="8"/>
      <c r="BT89" s="10"/>
      <c r="BU89" s="1"/>
      <c r="BV89" s="8"/>
      <c r="BW89" s="7"/>
      <c r="BX89" s="1"/>
      <c r="BY89" s="8"/>
      <c r="BZ89" s="7"/>
      <c r="CA89" s="1"/>
      <c r="CB89" s="8"/>
      <c r="CC89" s="12"/>
      <c r="CD89" s="1"/>
      <c r="CE89" s="8"/>
      <c r="CF89" s="2">
        <v>1.0</v>
      </c>
      <c r="CH89" s="1"/>
      <c r="CI89" s="1"/>
      <c r="CJ89" s="1"/>
      <c r="CK89" s="8"/>
      <c r="CL89" s="10"/>
      <c r="CM89" s="1"/>
      <c r="CN89" s="1"/>
      <c r="CO89" s="1"/>
      <c r="CP89" s="1"/>
      <c r="CQ89" s="8"/>
      <c r="CR89" s="10"/>
      <c r="CS89" s="1"/>
      <c r="CT89" s="8"/>
      <c r="CV89" s="1"/>
      <c r="CW89" s="8"/>
    </row>
    <row r="90">
      <c r="A90" s="50" t="s">
        <v>129</v>
      </c>
      <c r="C90" s="1"/>
      <c r="D90" s="4"/>
      <c r="E90" s="12">
        <v>3.0</v>
      </c>
      <c r="F90" s="1"/>
      <c r="G90" s="4"/>
      <c r="H90" s="7"/>
      <c r="I90" s="1"/>
      <c r="J90" s="4"/>
      <c r="K90" s="7"/>
      <c r="L90" s="1"/>
      <c r="M90" s="4"/>
      <c r="N90" s="12"/>
      <c r="O90" s="1"/>
      <c r="P90" s="4"/>
      <c r="Q90" s="1"/>
      <c r="R90" s="1"/>
      <c r="S90" s="1"/>
      <c r="T90" s="4"/>
      <c r="U90" s="12"/>
      <c r="V90" s="1"/>
      <c r="W90" s="4"/>
      <c r="X90" s="12">
        <v>1.0</v>
      </c>
      <c r="Y90" s="1"/>
      <c r="Z90" s="4"/>
      <c r="AA90" s="12"/>
      <c r="AB90" s="1"/>
      <c r="AC90" s="4"/>
      <c r="AD90" s="2">
        <v>1.0</v>
      </c>
      <c r="AE90" s="1"/>
      <c r="AF90" s="4"/>
      <c r="AG90" s="12">
        <v>2.0</v>
      </c>
      <c r="AH90" s="1"/>
      <c r="AI90" s="4"/>
      <c r="AK90" s="1"/>
      <c r="AL90" s="4"/>
      <c r="AN90" s="1"/>
      <c r="AO90" s="4"/>
      <c r="AP90" s="7"/>
      <c r="AQ90" s="1"/>
      <c r="AR90" s="4"/>
      <c r="AS90" s="12">
        <v>3.0</v>
      </c>
      <c r="AT90" s="1"/>
      <c r="AU90" s="4"/>
      <c r="AV90" s="1"/>
      <c r="AW90" s="1"/>
      <c r="AX90" s="4"/>
      <c r="AY90" s="1"/>
      <c r="AZ90" s="1"/>
      <c r="BA90" s="1"/>
      <c r="BB90" s="1"/>
      <c r="BC90" s="1"/>
      <c r="BD90" s="5"/>
      <c r="BE90" s="7"/>
      <c r="BF90" s="1"/>
      <c r="BG90" s="4"/>
      <c r="BH90" s="1"/>
      <c r="BI90" s="1"/>
      <c r="BJ90" s="3">
        <v>1.0</v>
      </c>
      <c r="BK90" s="1"/>
      <c r="BL90" s="1"/>
      <c r="BM90" s="4"/>
      <c r="BN90" s="7"/>
      <c r="BO90" s="1"/>
      <c r="BP90" s="4"/>
      <c r="BQ90" s="12">
        <v>1.0</v>
      </c>
      <c r="BR90" s="1"/>
      <c r="BS90" s="4"/>
      <c r="BT90" s="6"/>
      <c r="BU90" s="1"/>
      <c r="BV90" s="4"/>
      <c r="BW90" s="12">
        <v>2.0</v>
      </c>
      <c r="BX90" s="1"/>
      <c r="BY90" s="4"/>
      <c r="BZ90" s="7"/>
      <c r="CA90" s="1"/>
      <c r="CB90" s="4"/>
      <c r="CC90" s="7"/>
      <c r="CD90" s="1"/>
      <c r="CE90" s="4"/>
      <c r="CH90" s="1"/>
      <c r="CI90" s="1"/>
      <c r="CJ90" s="1"/>
      <c r="CK90" s="4"/>
      <c r="CL90" s="6"/>
      <c r="CM90" s="1"/>
      <c r="CN90" s="1"/>
      <c r="CO90" s="1"/>
      <c r="CP90" s="1"/>
      <c r="CQ90" s="4"/>
      <c r="CR90" s="6"/>
      <c r="CS90" s="1"/>
      <c r="CT90" s="4"/>
      <c r="CV90" s="1"/>
      <c r="CW90" s="4"/>
    </row>
    <row r="91">
      <c r="A91" s="51" t="s">
        <v>130</v>
      </c>
      <c r="C91" s="1"/>
      <c r="D91" s="4"/>
      <c r="E91" s="12">
        <v>1.0</v>
      </c>
      <c r="F91" s="1"/>
      <c r="G91" s="4"/>
      <c r="H91" s="12">
        <v>2.0</v>
      </c>
      <c r="I91" s="1"/>
      <c r="J91" s="4"/>
      <c r="K91" s="12">
        <v>1.0</v>
      </c>
      <c r="L91" s="1"/>
      <c r="M91" s="4"/>
      <c r="N91" s="12"/>
      <c r="O91" s="1"/>
      <c r="P91" s="4"/>
      <c r="Q91" s="1"/>
      <c r="R91" s="1"/>
      <c r="S91" s="1"/>
      <c r="T91" s="4"/>
      <c r="U91" s="12"/>
      <c r="V91" s="1"/>
      <c r="W91" s="4"/>
      <c r="X91" s="12"/>
      <c r="Y91" s="1"/>
      <c r="Z91" s="4"/>
      <c r="AA91" s="12">
        <v>1.0</v>
      </c>
      <c r="AB91" s="1"/>
      <c r="AC91" s="4"/>
      <c r="AD91" s="2">
        <v>2.0</v>
      </c>
      <c r="AE91" s="1"/>
      <c r="AF91" s="4"/>
      <c r="AG91" s="12">
        <v>2.0</v>
      </c>
      <c r="AH91" s="1"/>
      <c r="AI91" s="4"/>
      <c r="AK91" s="1"/>
      <c r="AL91" s="4"/>
      <c r="AN91" s="1"/>
      <c r="AO91" s="4"/>
      <c r="AP91" s="7">
        <v>0.0</v>
      </c>
      <c r="AQ91" s="1"/>
      <c r="AR91" s="4"/>
      <c r="AS91" s="12">
        <v>1.0</v>
      </c>
      <c r="AT91" s="1"/>
      <c r="AU91" s="4"/>
      <c r="AV91" s="1"/>
      <c r="AW91" s="1"/>
      <c r="AX91" s="4"/>
      <c r="AY91" s="1"/>
      <c r="AZ91" s="1"/>
      <c r="BA91" s="1"/>
      <c r="BB91" s="1"/>
      <c r="BC91" s="1"/>
      <c r="BD91" s="5"/>
      <c r="BE91" s="7"/>
      <c r="BF91" s="1"/>
      <c r="BG91" s="4"/>
      <c r="BH91" s="1"/>
      <c r="BI91" s="1"/>
      <c r="BJ91" s="1"/>
      <c r="BK91" s="1"/>
      <c r="BL91" s="1"/>
      <c r="BM91" s="4"/>
      <c r="BN91" s="7">
        <v>0.0</v>
      </c>
      <c r="BO91" s="1"/>
      <c r="BP91" s="4"/>
      <c r="BQ91" s="7">
        <v>0.0</v>
      </c>
      <c r="BR91" s="1"/>
      <c r="BS91" s="4"/>
      <c r="BT91" s="6"/>
      <c r="BU91" s="1"/>
      <c r="BV91" s="4"/>
      <c r="BW91" s="7">
        <v>0.0</v>
      </c>
      <c r="BX91" s="1"/>
      <c r="BY91" s="4"/>
      <c r="BZ91" s="7">
        <v>0.0</v>
      </c>
      <c r="CA91" s="1"/>
      <c r="CB91" s="4"/>
      <c r="CC91" s="7"/>
      <c r="CD91" s="1"/>
      <c r="CE91" s="4"/>
      <c r="CH91" s="1"/>
      <c r="CI91" s="1"/>
      <c r="CJ91" s="1"/>
      <c r="CK91" s="4"/>
      <c r="CL91" s="6"/>
      <c r="CM91" s="1"/>
      <c r="CN91" s="1"/>
      <c r="CO91" s="1"/>
      <c r="CP91" s="1"/>
      <c r="CQ91" s="4"/>
      <c r="CR91" s="6"/>
      <c r="CS91" s="1"/>
      <c r="CT91" s="4"/>
      <c r="CV91" s="1"/>
      <c r="CW91" s="4"/>
    </row>
    <row r="92">
      <c r="A92" s="49" t="s">
        <v>131</v>
      </c>
      <c r="C92" s="1"/>
      <c r="D92" s="4"/>
      <c r="E92" s="7"/>
      <c r="F92" s="1"/>
      <c r="G92" s="4"/>
      <c r="H92" s="12">
        <v>2.0</v>
      </c>
      <c r="I92" s="1"/>
      <c r="J92" s="4"/>
      <c r="K92" s="7"/>
      <c r="L92" s="1"/>
      <c r="M92" s="4"/>
      <c r="N92" s="7"/>
      <c r="O92" s="1"/>
      <c r="P92" s="4"/>
      <c r="Q92" s="1"/>
      <c r="R92" s="1"/>
      <c r="S92" s="1"/>
      <c r="T92" s="4"/>
      <c r="U92" s="7"/>
      <c r="V92" s="1"/>
      <c r="W92" s="4"/>
      <c r="X92" s="7"/>
      <c r="Y92" s="1"/>
      <c r="Z92" s="4"/>
      <c r="AA92" s="7"/>
      <c r="AB92" s="1"/>
      <c r="AC92" s="4"/>
      <c r="AD92" s="2">
        <v>1.0</v>
      </c>
      <c r="AE92" s="1"/>
      <c r="AF92" s="4"/>
      <c r="AG92" s="7"/>
      <c r="AH92" s="1"/>
      <c r="AI92" s="4"/>
      <c r="AK92" s="1"/>
      <c r="AL92" s="4"/>
      <c r="AN92" s="1"/>
      <c r="AO92" s="4"/>
      <c r="AP92" s="7">
        <v>2.0</v>
      </c>
      <c r="AQ92" s="1"/>
      <c r="AR92" s="4"/>
      <c r="AS92" s="7">
        <v>1.0</v>
      </c>
      <c r="AT92" s="1"/>
      <c r="AU92" s="4"/>
      <c r="AV92" s="3">
        <v>1.0</v>
      </c>
      <c r="AW92" s="1"/>
      <c r="AX92" s="4"/>
      <c r="AY92" s="1"/>
      <c r="AZ92" s="1"/>
      <c r="BA92" s="1"/>
      <c r="BB92" s="1"/>
      <c r="BC92" s="1"/>
      <c r="BD92" s="5"/>
      <c r="BE92" s="7"/>
      <c r="BF92" s="1"/>
      <c r="BG92" s="4"/>
      <c r="BH92" s="3">
        <v>0.0</v>
      </c>
      <c r="BI92" s="3">
        <v>4.0</v>
      </c>
      <c r="BJ92" s="3">
        <v>1.0</v>
      </c>
      <c r="BK92" s="3">
        <v>2.0</v>
      </c>
      <c r="BL92" s="1"/>
      <c r="BM92" s="4"/>
      <c r="BN92" s="7">
        <v>0.0</v>
      </c>
      <c r="BO92" s="1"/>
      <c r="BP92" s="4"/>
      <c r="BQ92" s="7">
        <v>0.0</v>
      </c>
      <c r="BR92" s="1"/>
      <c r="BS92" s="4"/>
      <c r="BT92" s="15"/>
      <c r="BU92" s="1"/>
      <c r="BV92" s="4"/>
      <c r="BW92" s="7">
        <v>0.0</v>
      </c>
      <c r="BX92" s="1"/>
      <c r="BY92" s="4"/>
      <c r="BZ92" s="7">
        <v>1.0</v>
      </c>
      <c r="CA92" s="1"/>
      <c r="CB92" s="4"/>
      <c r="CC92" s="7"/>
      <c r="CD92" s="1"/>
      <c r="CE92" s="4"/>
      <c r="CF92" s="2">
        <v>2.0</v>
      </c>
      <c r="CG92" s="2">
        <v>3.0</v>
      </c>
      <c r="CH92" s="1"/>
      <c r="CI92" s="3">
        <v>1.0</v>
      </c>
      <c r="CJ92" s="1"/>
      <c r="CK92" s="4"/>
      <c r="CL92" s="15"/>
      <c r="CM92" s="3">
        <v>1.0</v>
      </c>
      <c r="CN92" s="3">
        <v>1.0</v>
      </c>
      <c r="CO92" s="1"/>
      <c r="CP92" s="1"/>
      <c r="CQ92" s="4"/>
      <c r="CR92" s="6">
        <v>1.0</v>
      </c>
      <c r="CS92" s="1"/>
      <c r="CT92" s="4"/>
      <c r="CV92" s="1"/>
      <c r="CW92" s="4"/>
    </row>
    <row r="93">
      <c r="A93" s="49" t="s">
        <v>132</v>
      </c>
      <c r="C93" s="1"/>
      <c r="D93" s="8"/>
      <c r="E93" s="12">
        <v>1.0</v>
      </c>
      <c r="F93" s="1"/>
      <c r="G93" s="8"/>
      <c r="H93" s="7"/>
      <c r="I93" s="1"/>
      <c r="J93" s="8"/>
      <c r="K93" s="12">
        <v>2.0</v>
      </c>
      <c r="L93" s="1"/>
      <c r="M93" s="8"/>
      <c r="N93" s="12">
        <v>2.0</v>
      </c>
      <c r="O93" s="1"/>
      <c r="P93" s="8"/>
      <c r="Q93" s="3">
        <v>13.0</v>
      </c>
      <c r="R93" s="3">
        <v>9.0</v>
      </c>
      <c r="S93" s="1"/>
      <c r="T93" s="8"/>
      <c r="U93" s="12"/>
      <c r="V93" s="1"/>
      <c r="W93" s="8"/>
      <c r="X93" s="12">
        <v>1.0</v>
      </c>
      <c r="Y93" s="1"/>
      <c r="Z93" s="8"/>
      <c r="AA93" s="12">
        <v>7.0</v>
      </c>
      <c r="AB93" s="1"/>
      <c r="AC93" s="8"/>
      <c r="AD93" s="2">
        <v>2.0</v>
      </c>
      <c r="AE93" s="1"/>
      <c r="AF93" s="8"/>
      <c r="AG93" s="12">
        <v>1.0</v>
      </c>
      <c r="AH93" s="1"/>
      <c r="AI93" s="8"/>
      <c r="AJ93" s="2">
        <v>3.0</v>
      </c>
      <c r="AK93" s="1"/>
      <c r="AL93" s="8"/>
      <c r="AM93" s="2">
        <v>4.0</v>
      </c>
      <c r="AN93" s="1"/>
      <c r="AO93" s="8"/>
      <c r="AP93" s="7">
        <v>17.0</v>
      </c>
      <c r="AQ93" s="1"/>
      <c r="AR93" s="8"/>
      <c r="AS93" s="7">
        <v>11.0</v>
      </c>
      <c r="AT93" s="1"/>
      <c r="AU93" s="8"/>
      <c r="AV93" s="12">
        <v>52.0</v>
      </c>
      <c r="AW93" s="1"/>
      <c r="AX93" s="8"/>
      <c r="AY93" s="12"/>
      <c r="AZ93" s="12">
        <v>17.0</v>
      </c>
      <c r="BA93" s="7">
        <v>18.0</v>
      </c>
      <c r="BB93" s="12">
        <v>11.0</v>
      </c>
      <c r="BC93" s="1"/>
      <c r="BD93" s="9"/>
      <c r="BE93" s="12">
        <v>4.0</v>
      </c>
      <c r="BF93" s="1"/>
      <c r="BG93" s="8"/>
      <c r="BH93" s="3">
        <v>30.0</v>
      </c>
      <c r="BI93" s="3">
        <v>22.0</v>
      </c>
      <c r="BJ93" s="3">
        <v>31.0</v>
      </c>
      <c r="BK93" s="3">
        <v>19.0</v>
      </c>
      <c r="BL93" s="1"/>
      <c r="BM93" s="8"/>
      <c r="BN93" s="7">
        <v>21.0</v>
      </c>
      <c r="BO93" s="1"/>
      <c r="BP93" s="8"/>
      <c r="BQ93" s="7">
        <v>5.0</v>
      </c>
      <c r="BR93" s="1"/>
      <c r="BS93" s="8"/>
      <c r="BT93" s="10">
        <v>4.0</v>
      </c>
      <c r="BU93" s="1"/>
      <c r="BV93" s="8"/>
      <c r="BW93" s="7">
        <v>10.0</v>
      </c>
      <c r="BX93" s="1"/>
      <c r="BY93" s="8"/>
      <c r="BZ93" s="7">
        <v>2.0</v>
      </c>
      <c r="CA93" s="1"/>
      <c r="CB93" s="8"/>
      <c r="CC93" s="12">
        <v>6.0</v>
      </c>
      <c r="CD93" s="1"/>
      <c r="CE93" s="8"/>
      <c r="CF93" s="2">
        <v>8.0</v>
      </c>
      <c r="CG93" s="2">
        <v>11.0</v>
      </c>
      <c r="CH93" s="3">
        <v>19.0</v>
      </c>
      <c r="CI93" s="3">
        <v>9.0</v>
      </c>
      <c r="CJ93" s="1"/>
      <c r="CK93" s="8"/>
      <c r="CL93" s="10">
        <v>6.0</v>
      </c>
      <c r="CM93" s="3">
        <v>7.0</v>
      </c>
      <c r="CN93" s="3">
        <v>5.0</v>
      </c>
      <c r="CO93" s="3">
        <v>5.0</v>
      </c>
      <c r="CP93" s="1"/>
      <c r="CQ93" s="8"/>
      <c r="CR93" s="10">
        <v>20.0</v>
      </c>
      <c r="CS93" s="1"/>
      <c r="CT93" s="8"/>
      <c r="CU93" s="2">
        <v>7.0</v>
      </c>
      <c r="CV93" s="1"/>
      <c r="CW93" s="8"/>
    </row>
    <row r="94">
      <c r="A94" s="49" t="s">
        <v>133</v>
      </c>
      <c r="C94" s="1"/>
      <c r="D94" s="4"/>
      <c r="E94" s="7"/>
      <c r="F94" s="1"/>
      <c r="G94" s="4"/>
      <c r="H94" s="7"/>
      <c r="I94" s="1"/>
      <c r="J94" s="4"/>
      <c r="K94" s="7"/>
      <c r="L94" s="1"/>
      <c r="M94" s="4"/>
      <c r="N94" s="7"/>
      <c r="O94" s="1"/>
      <c r="P94" s="4"/>
      <c r="Q94" s="1"/>
      <c r="R94" s="1"/>
      <c r="S94" s="1"/>
      <c r="T94" s="4"/>
      <c r="U94" s="7"/>
      <c r="V94" s="1"/>
      <c r="W94" s="4"/>
      <c r="X94" s="7"/>
      <c r="Y94" s="1"/>
      <c r="Z94" s="4"/>
      <c r="AA94" s="7"/>
      <c r="AB94" s="1"/>
      <c r="AC94" s="4"/>
      <c r="AE94" s="1"/>
      <c r="AF94" s="4"/>
      <c r="AG94" s="7"/>
      <c r="AH94" s="1"/>
      <c r="AI94" s="4"/>
      <c r="AK94" s="1"/>
      <c r="AL94" s="4"/>
      <c r="AN94" s="1"/>
      <c r="AO94" s="4"/>
      <c r="AP94" s="7">
        <v>0.0</v>
      </c>
      <c r="AQ94" s="1"/>
      <c r="AR94" s="4"/>
      <c r="AS94" s="7">
        <v>0.0</v>
      </c>
      <c r="AT94" s="1"/>
      <c r="AU94" s="4"/>
      <c r="AV94" s="1"/>
      <c r="AW94" s="1"/>
      <c r="AX94" s="4"/>
      <c r="AY94" s="1"/>
      <c r="AZ94" s="1"/>
      <c r="BA94" s="1"/>
      <c r="BB94" s="1"/>
      <c r="BC94" s="1"/>
      <c r="BD94" s="5"/>
      <c r="BE94" s="7"/>
      <c r="BF94" s="1"/>
      <c r="BG94" s="4"/>
      <c r="BH94" s="3">
        <v>0.0</v>
      </c>
      <c r="BI94" s="3">
        <v>0.0</v>
      </c>
      <c r="BJ94" s="3">
        <v>0.0</v>
      </c>
      <c r="BK94" s="3">
        <v>0.0</v>
      </c>
      <c r="BL94" s="1"/>
      <c r="BM94" s="4"/>
      <c r="BN94" s="7">
        <v>0.0</v>
      </c>
      <c r="BO94" s="1"/>
      <c r="BP94" s="4"/>
      <c r="BQ94" s="7">
        <v>0.0</v>
      </c>
      <c r="BR94" s="1"/>
      <c r="BS94" s="4"/>
      <c r="BT94" s="15"/>
      <c r="BU94" s="1"/>
      <c r="BV94" s="4"/>
      <c r="BW94" s="7">
        <v>0.0</v>
      </c>
      <c r="BX94" s="1"/>
      <c r="BY94" s="4"/>
      <c r="BZ94" s="7">
        <v>0.0</v>
      </c>
      <c r="CA94" s="1"/>
      <c r="CB94" s="4"/>
      <c r="CC94" s="7"/>
      <c r="CD94" s="1"/>
      <c r="CE94" s="4"/>
      <c r="CH94" s="1"/>
      <c r="CI94" s="1"/>
      <c r="CJ94" s="1"/>
      <c r="CK94" s="4"/>
      <c r="CL94" s="15"/>
      <c r="CM94" s="1"/>
      <c r="CN94" s="1"/>
      <c r="CO94" s="1"/>
      <c r="CP94" s="1"/>
      <c r="CQ94" s="4"/>
      <c r="CR94" s="15"/>
      <c r="CS94" s="1"/>
      <c r="CT94" s="4"/>
      <c r="CV94" s="1"/>
      <c r="CW94" s="4"/>
    </row>
    <row r="95">
      <c r="A95" s="50" t="s">
        <v>134</v>
      </c>
      <c r="C95" s="1"/>
      <c r="D95" s="4"/>
      <c r="E95" s="12">
        <v>3.0</v>
      </c>
      <c r="F95" s="1"/>
      <c r="G95" s="4"/>
      <c r="H95" s="7"/>
      <c r="I95" s="1"/>
      <c r="J95" s="4"/>
      <c r="K95" s="7"/>
      <c r="L95" s="1"/>
      <c r="M95" s="4"/>
      <c r="N95" s="12"/>
      <c r="O95" s="1"/>
      <c r="P95" s="4"/>
      <c r="Q95" s="1"/>
      <c r="R95" s="1"/>
      <c r="S95" s="1"/>
      <c r="T95" s="4"/>
      <c r="U95" s="12">
        <v>2.0</v>
      </c>
      <c r="V95" s="1"/>
      <c r="W95" s="4"/>
      <c r="X95" s="12">
        <v>2.0</v>
      </c>
      <c r="Y95" s="1"/>
      <c r="Z95" s="4"/>
      <c r="AA95" s="7"/>
      <c r="AB95" s="1"/>
      <c r="AC95" s="4"/>
      <c r="AD95" s="2">
        <v>5.0</v>
      </c>
      <c r="AE95" s="1"/>
      <c r="AF95" s="4"/>
      <c r="AG95" s="12">
        <v>2.0</v>
      </c>
      <c r="AH95" s="1"/>
      <c r="AI95" s="4"/>
      <c r="AK95" s="1"/>
      <c r="AL95" s="4"/>
      <c r="AN95" s="1"/>
      <c r="AO95" s="4"/>
      <c r="AP95" s="7"/>
      <c r="AQ95" s="1"/>
      <c r="AR95" s="4"/>
      <c r="AS95" s="12">
        <v>2.0</v>
      </c>
      <c r="AT95" s="1"/>
      <c r="AU95" s="4"/>
      <c r="AV95" s="1"/>
      <c r="AW95" s="1"/>
      <c r="AX95" s="4"/>
      <c r="AY95" s="1"/>
      <c r="AZ95" s="1"/>
      <c r="BA95" s="1"/>
      <c r="BB95" s="1"/>
      <c r="BC95" s="1"/>
      <c r="BD95" s="5"/>
      <c r="BE95" s="7"/>
      <c r="BF95" s="1"/>
      <c r="BG95" s="4"/>
      <c r="BH95" s="3"/>
      <c r="BI95" s="3"/>
      <c r="BJ95" s="3"/>
      <c r="BK95" s="3"/>
      <c r="BL95" s="1"/>
      <c r="BM95" s="4"/>
      <c r="BN95" s="12">
        <v>3.0</v>
      </c>
      <c r="BO95" s="1"/>
      <c r="BP95" s="4"/>
      <c r="BQ95" s="7"/>
      <c r="BR95" s="1"/>
      <c r="BS95" s="4"/>
      <c r="BT95" s="15"/>
      <c r="BU95" s="1"/>
      <c r="BV95" s="4"/>
      <c r="BW95" s="12">
        <v>1.0</v>
      </c>
      <c r="BX95" s="1"/>
      <c r="BY95" s="4"/>
      <c r="BZ95" s="7"/>
      <c r="CA95" s="1"/>
      <c r="CB95" s="4"/>
      <c r="CC95" s="7"/>
      <c r="CD95" s="1"/>
      <c r="CE95" s="4"/>
      <c r="CH95" s="1"/>
      <c r="CI95" s="1"/>
      <c r="CJ95" s="1"/>
      <c r="CK95" s="4"/>
      <c r="CL95" s="15"/>
      <c r="CM95" s="1"/>
      <c r="CN95" s="1"/>
      <c r="CO95" s="1"/>
      <c r="CP95" s="1"/>
      <c r="CQ95" s="4"/>
      <c r="CR95" s="15"/>
      <c r="CS95" s="1"/>
      <c r="CT95" s="4"/>
      <c r="CV95" s="1"/>
      <c r="CW95" s="4"/>
    </row>
    <row r="96">
      <c r="A96" s="49" t="s">
        <v>135</v>
      </c>
      <c r="C96" s="1"/>
      <c r="D96" s="8"/>
      <c r="E96" s="12">
        <v>2.0</v>
      </c>
      <c r="F96" s="1"/>
      <c r="G96" s="8"/>
      <c r="H96" s="7"/>
      <c r="I96" s="1"/>
      <c r="J96" s="8"/>
      <c r="K96" s="12">
        <v>7.0</v>
      </c>
      <c r="L96" s="1"/>
      <c r="M96" s="8"/>
      <c r="N96" s="12">
        <v>2.0</v>
      </c>
      <c r="O96" s="1"/>
      <c r="P96" s="8"/>
      <c r="Q96" s="1"/>
      <c r="R96" s="1"/>
      <c r="S96" s="1"/>
      <c r="T96" s="8"/>
      <c r="U96" s="12">
        <v>6.0</v>
      </c>
      <c r="V96" s="1"/>
      <c r="W96" s="8"/>
      <c r="X96" s="12"/>
      <c r="Y96" s="1"/>
      <c r="Z96" s="8"/>
      <c r="AA96" s="12">
        <v>15.0</v>
      </c>
      <c r="AB96" s="1"/>
      <c r="AC96" s="8"/>
      <c r="AD96" s="2">
        <v>2.0</v>
      </c>
      <c r="AE96" s="1"/>
      <c r="AF96" s="8"/>
      <c r="AG96" s="12">
        <v>7.0</v>
      </c>
      <c r="AH96" s="1"/>
      <c r="AI96" s="8"/>
      <c r="AJ96" s="2">
        <v>27.0</v>
      </c>
      <c r="AK96" s="1"/>
      <c r="AL96" s="8"/>
      <c r="AM96" s="2">
        <v>3.0</v>
      </c>
      <c r="AN96" s="1"/>
      <c r="AO96" s="8"/>
      <c r="AP96" s="7">
        <v>33.0</v>
      </c>
      <c r="AQ96" s="1"/>
      <c r="AR96" s="8"/>
      <c r="AS96" s="7">
        <v>23.0</v>
      </c>
      <c r="AT96" s="1"/>
      <c r="AU96" s="8"/>
      <c r="AV96" s="7"/>
      <c r="AW96" s="1"/>
      <c r="AX96" s="8"/>
      <c r="AY96" s="12"/>
      <c r="AZ96" s="12">
        <v>9.0</v>
      </c>
      <c r="BA96" s="7">
        <v>3.0</v>
      </c>
      <c r="BB96" s="12">
        <v>8.0</v>
      </c>
      <c r="BC96" s="1"/>
      <c r="BD96" s="9"/>
      <c r="BE96" s="12">
        <v>3.0</v>
      </c>
      <c r="BF96" s="1"/>
      <c r="BG96" s="8"/>
      <c r="BH96" s="3">
        <v>17.0</v>
      </c>
      <c r="BI96" s="3">
        <v>12.0</v>
      </c>
      <c r="BJ96" s="3">
        <v>6.0</v>
      </c>
      <c r="BK96" s="3">
        <v>3.0</v>
      </c>
      <c r="BL96" s="1"/>
      <c r="BM96" s="8"/>
      <c r="BN96" s="7">
        <v>0.0</v>
      </c>
      <c r="BO96" s="1"/>
      <c r="BP96" s="8"/>
      <c r="BQ96" s="7">
        <v>17.0</v>
      </c>
      <c r="BR96" s="1"/>
      <c r="BS96" s="8"/>
      <c r="BT96" s="10">
        <v>2.0</v>
      </c>
      <c r="BU96" s="1"/>
      <c r="BV96" s="8"/>
      <c r="BW96" s="7">
        <v>14.0</v>
      </c>
      <c r="BX96" s="1"/>
      <c r="BY96" s="8"/>
      <c r="BZ96" s="7">
        <v>3.0</v>
      </c>
      <c r="CA96" s="1"/>
      <c r="CB96" s="8"/>
      <c r="CC96" s="12">
        <v>4.0</v>
      </c>
      <c r="CD96" s="1"/>
      <c r="CE96" s="8"/>
      <c r="CG96" s="2">
        <v>3.0</v>
      </c>
      <c r="CH96" s="1"/>
      <c r="CI96" s="3">
        <v>1.0</v>
      </c>
      <c r="CJ96" s="1"/>
      <c r="CK96" s="8"/>
      <c r="CL96" s="11"/>
      <c r="CM96" s="3">
        <v>1.0</v>
      </c>
      <c r="CN96" s="1"/>
      <c r="CO96" s="3">
        <v>1.0</v>
      </c>
      <c r="CP96" s="1"/>
      <c r="CQ96" s="8"/>
      <c r="CR96" s="10">
        <v>29.0</v>
      </c>
      <c r="CS96" s="1"/>
      <c r="CT96" s="8"/>
      <c r="CU96" s="2">
        <v>2.0</v>
      </c>
      <c r="CV96" s="1"/>
      <c r="CW96" s="8"/>
      <c r="DH96" s="2"/>
      <c r="DI96" s="2"/>
      <c r="DJ96" s="2"/>
    </row>
    <row r="97">
      <c r="A97" s="49" t="s">
        <v>136</v>
      </c>
      <c r="C97" s="1"/>
      <c r="D97" s="4"/>
      <c r="E97" s="12">
        <v>4.0</v>
      </c>
      <c r="F97" s="1"/>
      <c r="G97" s="4"/>
      <c r="H97" s="12">
        <v>1.0</v>
      </c>
      <c r="I97" s="1"/>
      <c r="J97" s="4"/>
      <c r="K97" s="12">
        <v>5.0</v>
      </c>
      <c r="L97" s="1"/>
      <c r="M97" s="4"/>
      <c r="N97" s="12">
        <v>10.0</v>
      </c>
      <c r="O97" s="1"/>
      <c r="P97" s="4"/>
      <c r="Q97" s="1"/>
      <c r="R97" s="1"/>
      <c r="S97" s="1"/>
      <c r="T97" s="4"/>
      <c r="U97" s="12">
        <v>3.0</v>
      </c>
      <c r="V97" s="1"/>
      <c r="W97" s="4"/>
      <c r="X97" s="12"/>
      <c r="Y97" s="1"/>
      <c r="Z97" s="4"/>
      <c r="AA97" s="12">
        <v>3.0</v>
      </c>
      <c r="AB97" s="1"/>
      <c r="AC97" s="4"/>
      <c r="AD97" s="2">
        <v>1.0</v>
      </c>
      <c r="AE97" s="1"/>
      <c r="AF97" s="4"/>
      <c r="AG97" s="7"/>
      <c r="AH97" s="1"/>
      <c r="AI97" s="4"/>
      <c r="AJ97" s="2">
        <v>1.0</v>
      </c>
      <c r="AK97" s="1"/>
      <c r="AL97" s="4"/>
      <c r="AN97" s="1"/>
      <c r="AO97" s="4"/>
      <c r="AP97" s="7">
        <v>6.0</v>
      </c>
      <c r="AQ97" s="1"/>
      <c r="AR97" s="4"/>
      <c r="AS97" s="7">
        <v>7.0</v>
      </c>
      <c r="AT97" s="1"/>
      <c r="AU97" s="4"/>
      <c r="AV97" s="3">
        <v>5.0</v>
      </c>
      <c r="AW97" s="1"/>
      <c r="AX97" s="4"/>
      <c r="AY97" s="1"/>
      <c r="AZ97" s="1"/>
      <c r="BA97" s="1"/>
      <c r="BB97" s="1"/>
      <c r="BC97" s="1"/>
      <c r="BD97" s="5"/>
      <c r="BE97" s="12">
        <v>3.0</v>
      </c>
      <c r="BF97" s="1"/>
      <c r="BG97" s="4"/>
      <c r="BH97" s="3">
        <v>3.0</v>
      </c>
      <c r="BI97" s="3">
        <v>0.0</v>
      </c>
      <c r="BJ97" s="3">
        <v>1.0</v>
      </c>
      <c r="BK97" s="3">
        <v>0.0</v>
      </c>
      <c r="BL97" s="1"/>
      <c r="BM97" s="4"/>
      <c r="BN97" s="7">
        <v>2.0</v>
      </c>
      <c r="BO97" s="1"/>
      <c r="BP97" s="4"/>
      <c r="BQ97" s="7">
        <v>0.0</v>
      </c>
      <c r="BR97" s="1"/>
      <c r="BS97" s="4"/>
      <c r="BT97" s="6">
        <v>1.0</v>
      </c>
      <c r="BU97" s="1"/>
      <c r="BV97" s="4"/>
      <c r="BW97" s="7">
        <v>1.0</v>
      </c>
      <c r="BX97" s="1"/>
      <c r="BY97" s="4"/>
      <c r="BZ97" s="7">
        <v>1.0</v>
      </c>
      <c r="CA97" s="1"/>
      <c r="CB97" s="4"/>
      <c r="CC97" s="7"/>
      <c r="CD97" s="1"/>
      <c r="CE97" s="4"/>
      <c r="CH97" s="1"/>
      <c r="CI97" s="1"/>
      <c r="CJ97" s="1"/>
      <c r="CK97" s="4"/>
      <c r="CL97" s="6"/>
      <c r="CM97" s="1"/>
      <c r="CN97" s="1"/>
      <c r="CO97" s="1"/>
      <c r="CP97" s="1"/>
      <c r="CQ97" s="4"/>
      <c r="CR97" s="6">
        <v>1.0</v>
      </c>
      <c r="CS97" s="1"/>
      <c r="CT97" s="4"/>
      <c r="CV97" s="1"/>
      <c r="CW97" s="4"/>
    </row>
    <row r="98">
      <c r="A98" s="52" t="s">
        <v>137</v>
      </c>
      <c r="C98" s="1"/>
      <c r="D98" s="4"/>
      <c r="E98" s="7"/>
      <c r="F98" s="1"/>
      <c r="G98" s="4"/>
      <c r="H98" s="7"/>
      <c r="I98" s="1"/>
      <c r="J98" s="4"/>
      <c r="K98" s="7"/>
      <c r="L98" s="1"/>
      <c r="M98" s="4"/>
      <c r="N98" s="7"/>
      <c r="O98" s="1"/>
      <c r="P98" s="4"/>
      <c r="Q98" s="1"/>
      <c r="R98" s="1"/>
      <c r="S98" s="1"/>
      <c r="T98" s="4"/>
      <c r="U98" s="7"/>
      <c r="V98" s="1"/>
      <c r="W98" s="4"/>
      <c r="X98" s="7"/>
      <c r="Y98" s="1"/>
      <c r="Z98" s="4"/>
      <c r="AA98" s="7"/>
      <c r="AB98" s="1"/>
      <c r="AC98" s="4"/>
      <c r="AE98" s="1"/>
      <c r="AF98" s="4"/>
      <c r="AG98" s="7"/>
      <c r="AH98" s="1"/>
      <c r="AI98" s="4"/>
      <c r="AJ98" s="2">
        <v>2.0</v>
      </c>
      <c r="AK98" s="1"/>
      <c r="AL98" s="4"/>
      <c r="AN98" s="1"/>
      <c r="AO98" s="4"/>
      <c r="AP98" s="7">
        <v>0.0</v>
      </c>
      <c r="AQ98" s="1"/>
      <c r="AR98" s="4"/>
      <c r="AS98" s="7">
        <v>0.0</v>
      </c>
      <c r="AT98" s="1"/>
      <c r="AU98" s="4"/>
      <c r="AV98" s="3">
        <v>2.0</v>
      </c>
      <c r="AW98" s="1"/>
      <c r="AX98" s="4"/>
      <c r="AY98" s="1"/>
      <c r="AZ98" s="1"/>
      <c r="BA98" s="1"/>
      <c r="BB98" s="1"/>
      <c r="BC98" s="1"/>
      <c r="BD98" s="5"/>
      <c r="BE98" s="12">
        <v>1.0</v>
      </c>
      <c r="BF98" s="1"/>
      <c r="BG98" s="4"/>
      <c r="BH98" s="3">
        <v>1.0</v>
      </c>
      <c r="BI98" s="3">
        <v>0.0</v>
      </c>
      <c r="BJ98" s="3">
        <v>0.0</v>
      </c>
      <c r="BK98" s="3">
        <v>0.0</v>
      </c>
      <c r="BL98" s="1"/>
      <c r="BM98" s="4"/>
      <c r="BN98" s="7">
        <v>5.0</v>
      </c>
      <c r="BO98" s="1"/>
      <c r="BP98" s="4"/>
      <c r="BQ98" s="7">
        <v>0.0</v>
      </c>
      <c r="BR98" s="1"/>
      <c r="BS98" s="4"/>
      <c r="BT98" s="15"/>
      <c r="BU98" s="1"/>
      <c r="BV98" s="4"/>
      <c r="BW98" s="7">
        <v>0.0</v>
      </c>
      <c r="BX98" s="1"/>
      <c r="BY98" s="4"/>
      <c r="BZ98" s="7">
        <v>0.0</v>
      </c>
      <c r="CA98" s="1"/>
      <c r="CB98" s="4"/>
      <c r="CC98" s="7"/>
      <c r="CD98" s="1"/>
      <c r="CE98" s="4"/>
      <c r="CH98" s="3">
        <v>2.0</v>
      </c>
      <c r="CI98" s="1"/>
      <c r="CJ98" s="1"/>
      <c r="CK98" s="4"/>
      <c r="CL98" s="6">
        <v>1.0</v>
      </c>
      <c r="CM98" s="1"/>
      <c r="CN98" s="1"/>
      <c r="CO98" s="1"/>
      <c r="CP98" s="1"/>
      <c r="CQ98" s="4"/>
      <c r="CR98" s="15"/>
      <c r="CS98" s="1"/>
      <c r="CT98" s="4"/>
      <c r="CV98" s="1"/>
      <c r="CW98" s="4"/>
    </row>
    <row r="99">
      <c r="A99" s="51" t="s">
        <v>138</v>
      </c>
      <c r="C99" s="1"/>
      <c r="D99" s="4"/>
      <c r="E99" s="12">
        <v>7.0</v>
      </c>
      <c r="F99" s="1"/>
      <c r="G99" s="4"/>
      <c r="H99" s="12">
        <v>1.0</v>
      </c>
      <c r="I99" s="1"/>
      <c r="J99" s="4"/>
      <c r="K99" s="7"/>
      <c r="L99" s="1"/>
      <c r="M99" s="4"/>
      <c r="N99" s="12"/>
      <c r="O99" s="1"/>
      <c r="P99" s="4"/>
      <c r="Q99" s="1"/>
      <c r="R99" s="1"/>
      <c r="S99" s="1"/>
      <c r="T99" s="4"/>
      <c r="U99" s="12">
        <v>1.0</v>
      </c>
      <c r="V99" s="1"/>
      <c r="W99" s="4"/>
      <c r="X99" s="12">
        <v>5.0</v>
      </c>
      <c r="Y99" s="1"/>
      <c r="Z99" s="4"/>
      <c r="AA99" s="12">
        <v>1.0</v>
      </c>
      <c r="AB99" s="1"/>
      <c r="AC99" s="4"/>
      <c r="AD99" s="2">
        <v>4.0</v>
      </c>
      <c r="AE99" s="1"/>
      <c r="AF99" s="4"/>
      <c r="AG99" s="12">
        <v>2.0</v>
      </c>
      <c r="AH99" s="1"/>
      <c r="AI99" s="4"/>
      <c r="AK99" s="1"/>
      <c r="AL99" s="4"/>
      <c r="AN99" s="1"/>
      <c r="AO99" s="4"/>
      <c r="AP99" s="7">
        <v>1.0</v>
      </c>
      <c r="AQ99" s="1"/>
      <c r="AR99" s="4"/>
      <c r="AS99" s="7">
        <v>5.0</v>
      </c>
      <c r="AT99" s="1"/>
      <c r="AU99" s="4"/>
      <c r="AV99" s="1"/>
      <c r="AW99" s="1"/>
      <c r="AX99" s="4"/>
      <c r="AY99" s="1"/>
      <c r="AZ99" s="1"/>
      <c r="BA99" s="1"/>
      <c r="BB99" s="1"/>
      <c r="BC99" s="1"/>
      <c r="BD99" s="5"/>
      <c r="BE99" s="7"/>
      <c r="BF99" s="1"/>
      <c r="BG99" s="4"/>
      <c r="BH99" s="1"/>
      <c r="BI99" s="1"/>
      <c r="BJ99" s="1"/>
      <c r="BK99" s="1"/>
      <c r="BL99" s="1"/>
      <c r="BM99" s="4"/>
      <c r="BN99" s="7">
        <v>1.0</v>
      </c>
      <c r="BO99" s="1"/>
      <c r="BP99" s="4"/>
      <c r="BQ99" s="7">
        <v>3.0</v>
      </c>
      <c r="BR99" s="1"/>
      <c r="BS99" s="4"/>
      <c r="BT99" s="15"/>
      <c r="BU99" s="1"/>
      <c r="BV99" s="4"/>
      <c r="BW99" s="1"/>
      <c r="BX99" s="1"/>
      <c r="BY99" s="4"/>
      <c r="BZ99" s="7">
        <v>0.0</v>
      </c>
      <c r="CA99" s="1"/>
      <c r="CB99" s="4"/>
      <c r="CC99" s="7"/>
      <c r="CD99" s="1"/>
      <c r="CE99" s="4"/>
      <c r="CH99" s="3">
        <v>1.0</v>
      </c>
      <c r="CI99" s="1"/>
      <c r="CJ99" s="1"/>
      <c r="CK99" s="4"/>
      <c r="CL99" s="15"/>
      <c r="CM99" s="1"/>
      <c r="CN99" s="1"/>
      <c r="CO99" s="1"/>
      <c r="CP99" s="1"/>
      <c r="CQ99" s="4"/>
      <c r="CR99" s="15"/>
      <c r="CS99" s="1"/>
      <c r="CT99" s="4"/>
      <c r="CV99" s="1"/>
      <c r="CW99" s="4"/>
    </row>
    <row r="100">
      <c r="A100" s="49" t="s">
        <v>139</v>
      </c>
      <c r="B100" s="2">
        <v>5.0</v>
      </c>
      <c r="C100" s="1"/>
      <c r="D100" s="4"/>
      <c r="E100" s="12">
        <v>8.0</v>
      </c>
      <c r="F100" s="1"/>
      <c r="G100" s="4"/>
      <c r="H100" s="7"/>
      <c r="I100" s="1"/>
      <c r="J100" s="4"/>
      <c r="K100" s="12">
        <v>8.0</v>
      </c>
      <c r="L100" s="1"/>
      <c r="M100" s="4"/>
      <c r="N100" s="12"/>
      <c r="O100" s="1"/>
      <c r="P100" s="4"/>
      <c r="Q100" s="1"/>
      <c r="R100" s="3">
        <v>1.0</v>
      </c>
      <c r="S100" s="1"/>
      <c r="T100" s="4"/>
      <c r="U100" s="12">
        <v>12.0</v>
      </c>
      <c r="V100" s="1"/>
      <c r="W100" s="4"/>
      <c r="X100" s="12"/>
      <c r="Y100" s="1"/>
      <c r="Z100" s="4"/>
      <c r="AA100" s="12">
        <v>2.0</v>
      </c>
      <c r="AB100" s="1"/>
      <c r="AC100" s="4"/>
      <c r="AD100" s="2">
        <v>12.0</v>
      </c>
      <c r="AE100" s="1"/>
      <c r="AF100" s="4"/>
      <c r="AG100" s="7"/>
      <c r="AH100" s="1"/>
      <c r="AI100" s="4"/>
      <c r="AJ100" s="2">
        <v>1.0</v>
      </c>
      <c r="AK100" s="1"/>
      <c r="AL100" s="4"/>
      <c r="AN100" s="1"/>
      <c r="AO100" s="4"/>
      <c r="AP100" s="7">
        <v>5.0</v>
      </c>
      <c r="AQ100" s="1"/>
      <c r="AR100" s="4"/>
      <c r="AS100" s="7">
        <v>13.0</v>
      </c>
      <c r="AT100" s="1"/>
      <c r="AU100" s="4"/>
      <c r="AV100" s="3">
        <v>1.0</v>
      </c>
      <c r="AW100" s="1"/>
      <c r="AX100" s="4"/>
      <c r="AY100" s="1"/>
      <c r="AZ100" s="1"/>
      <c r="BA100" s="1"/>
      <c r="BB100" s="1"/>
      <c r="BC100" s="1"/>
      <c r="BD100" s="5"/>
      <c r="BE100" s="7"/>
      <c r="BF100" s="1"/>
      <c r="BG100" s="4"/>
      <c r="BH100" s="3">
        <v>0.0</v>
      </c>
      <c r="BI100" s="3">
        <v>0.0</v>
      </c>
      <c r="BJ100" s="3">
        <v>0.0</v>
      </c>
      <c r="BK100" s="3">
        <v>0.0</v>
      </c>
      <c r="BL100" s="1"/>
      <c r="BM100" s="4"/>
      <c r="BN100" s="7">
        <v>4.0</v>
      </c>
      <c r="BO100" s="1"/>
      <c r="BP100" s="4"/>
      <c r="BQ100" s="7">
        <v>13.0</v>
      </c>
      <c r="BR100" s="1"/>
      <c r="BS100" s="4"/>
      <c r="BT100" s="15"/>
      <c r="BU100" s="1"/>
      <c r="BV100" s="4"/>
      <c r="BW100" s="7">
        <v>3.0</v>
      </c>
      <c r="BX100" s="1"/>
      <c r="BY100" s="4"/>
      <c r="BZ100" s="7">
        <v>1.0</v>
      </c>
      <c r="CA100" s="1"/>
      <c r="CB100" s="4"/>
      <c r="CC100" s="7"/>
      <c r="CD100" s="1"/>
      <c r="CE100" s="4"/>
      <c r="CH100" s="1"/>
      <c r="CI100" s="1"/>
      <c r="CJ100" s="1"/>
      <c r="CK100" s="4"/>
      <c r="CL100" s="15"/>
      <c r="CM100" s="1"/>
      <c r="CN100" s="1"/>
      <c r="CO100" s="1"/>
      <c r="CP100" s="1"/>
      <c r="CQ100" s="4"/>
      <c r="CR100" s="15"/>
      <c r="CS100" s="1"/>
      <c r="CT100" s="4"/>
      <c r="CV100" s="1"/>
      <c r="CW100" s="4"/>
    </row>
    <row r="101">
      <c r="A101" s="49" t="s">
        <v>140</v>
      </c>
      <c r="B101" s="2">
        <v>8.0</v>
      </c>
      <c r="C101" s="1"/>
      <c r="D101" s="4"/>
      <c r="E101" s="12">
        <v>3.0</v>
      </c>
      <c r="F101" s="1"/>
      <c r="G101" s="4"/>
      <c r="H101" s="12">
        <v>2.0</v>
      </c>
      <c r="I101" s="1"/>
      <c r="J101" s="4"/>
      <c r="K101" s="7"/>
      <c r="L101" s="1"/>
      <c r="M101" s="4"/>
      <c r="N101" s="12">
        <v>5.0</v>
      </c>
      <c r="O101" s="1"/>
      <c r="P101" s="4"/>
      <c r="Q101" s="1"/>
      <c r="R101" s="1"/>
      <c r="S101" s="1"/>
      <c r="T101" s="4"/>
      <c r="U101" s="12">
        <v>4.0</v>
      </c>
      <c r="V101" s="1"/>
      <c r="W101" s="4"/>
      <c r="X101" s="12"/>
      <c r="Y101" s="1"/>
      <c r="Z101" s="4"/>
      <c r="AA101" s="12">
        <v>1.0</v>
      </c>
      <c r="AB101" s="1"/>
      <c r="AC101" s="4"/>
      <c r="AD101" s="2">
        <v>4.0</v>
      </c>
      <c r="AE101" s="1"/>
      <c r="AF101" s="4"/>
      <c r="AG101" s="12">
        <v>6.0</v>
      </c>
      <c r="AH101" s="1"/>
      <c r="AI101" s="4"/>
      <c r="AK101" s="1"/>
      <c r="AL101" s="4"/>
      <c r="AN101" s="1"/>
      <c r="AO101" s="4"/>
      <c r="AP101" s="7">
        <v>0.0</v>
      </c>
      <c r="AQ101" s="1"/>
      <c r="AR101" s="4"/>
      <c r="AS101" s="7">
        <v>4.0</v>
      </c>
      <c r="AT101" s="1"/>
      <c r="AU101" s="4"/>
      <c r="AV101" s="1"/>
      <c r="AW101" s="1"/>
      <c r="AX101" s="4"/>
      <c r="AY101" s="1"/>
      <c r="AZ101" s="1"/>
      <c r="BA101" s="1"/>
      <c r="BB101" s="1"/>
      <c r="BC101" s="1"/>
      <c r="BD101" s="5"/>
      <c r="BE101" s="7"/>
      <c r="BF101" s="1"/>
      <c r="BG101" s="4"/>
      <c r="BH101" s="3">
        <v>0.0</v>
      </c>
      <c r="BI101" s="3">
        <v>0.0</v>
      </c>
      <c r="BJ101" s="3">
        <v>0.0</v>
      </c>
      <c r="BK101" s="3">
        <v>0.0</v>
      </c>
      <c r="BL101" s="1"/>
      <c r="BM101" s="4"/>
      <c r="BN101" s="7">
        <v>1.0</v>
      </c>
      <c r="BO101" s="1"/>
      <c r="BP101" s="4"/>
      <c r="BQ101" s="7">
        <v>4.0</v>
      </c>
      <c r="BR101" s="1"/>
      <c r="BS101" s="4"/>
      <c r="BT101" s="6"/>
      <c r="BU101" s="1"/>
      <c r="BV101" s="4"/>
      <c r="BW101" s="7">
        <v>1.0</v>
      </c>
      <c r="BX101" s="1"/>
      <c r="BY101" s="4"/>
      <c r="BZ101" s="7">
        <v>0.0</v>
      </c>
      <c r="CA101" s="1"/>
      <c r="CB101" s="4"/>
      <c r="CC101" s="7"/>
      <c r="CD101" s="1"/>
      <c r="CE101" s="4"/>
      <c r="CH101" s="1"/>
      <c r="CI101" s="1"/>
      <c r="CJ101" s="1"/>
      <c r="CK101" s="4"/>
      <c r="CL101" s="6"/>
      <c r="CM101" s="1"/>
      <c r="CN101" s="1"/>
      <c r="CO101" s="1"/>
      <c r="CP101" s="1"/>
      <c r="CQ101" s="4"/>
      <c r="CR101" s="6"/>
      <c r="CS101" s="1"/>
      <c r="CT101" s="4"/>
      <c r="CV101" s="1"/>
      <c r="CW101" s="4"/>
    </row>
    <row r="102">
      <c r="A102" s="49" t="s">
        <v>141</v>
      </c>
      <c r="C102" s="1"/>
      <c r="D102" s="4"/>
      <c r="E102" s="7"/>
      <c r="F102" s="1"/>
      <c r="G102" s="4"/>
      <c r="H102" s="7"/>
      <c r="I102" s="1"/>
      <c r="J102" s="4"/>
      <c r="K102" s="7"/>
      <c r="L102" s="1"/>
      <c r="M102" s="4"/>
      <c r="N102" s="7"/>
      <c r="O102" s="1"/>
      <c r="P102" s="4"/>
      <c r="Q102" s="1"/>
      <c r="R102" s="1"/>
      <c r="S102" s="1"/>
      <c r="T102" s="4"/>
      <c r="U102" s="7"/>
      <c r="V102" s="1"/>
      <c r="W102" s="4"/>
      <c r="X102" s="7"/>
      <c r="Y102" s="3" t="s">
        <v>88</v>
      </c>
      <c r="Z102" s="4"/>
      <c r="AA102" s="7"/>
      <c r="AB102" s="1"/>
      <c r="AC102" s="4"/>
      <c r="AD102" s="2">
        <v>1.0</v>
      </c>
      <c r="AE102" s="1"/>
      <c r="AF102" s="4"/>
      <c r="AG102" s="7"/>
      <c r="AH102" s="1"/>
      <c r="AI102" s="4"/>
      <c r="AK102" s="1"/>
      <c r="AL102" s="4"/>
      <c r="AN102" s="1"/>
      <c r="AO102" s="4"/>
      <c r="AP102" s="7">
        <v>2.0</v>
      </c>
      <c r="AQ102" s="1"/>
      <c r="AR102" s="4"/>
      <c r="AS102" s="7">
        <v>1.0</v>
      </c>
      <c r="AT102" s="1"/>
      <c r="AU102" s="4"/>
      <c r="AV102" s="1"/>
      <c r="AW102" s="1"/>
      <c r="AX102" s="4"/>
      <c r="AY102" s="1"/>
      <c r="AZ102" s="1"/>
      <c r="BA102" s="1"/>
      <c r="BB102" s="1"/>
      <c r="BC102" s="1"/>
      <c r="BD102" s="5"/>
      <c r="BE102" s="7"/>
      <c r="BF102" s="1"/>
      <c r="BG102" s="4"/>
      <c r="BH102" s="3">
        <v>0.0</v>
      </c>
      <c r="BI102" s="3">
        <v>0.0</v>
      </c>
      <c r="BJ102" s="3">
        <v>0.0</v>
      </c>
      <c r="BK102" s="3">
        <v>0.0</v>
      </c>
      <c r="BL102" s="1"/>
      <c r="BM102" s="4"/>
      <c r="BN102" s="7">
        <v>1.0</v>
      </c>
      <c r="BO102" s="1"/>
      <c r="BP102" s="4"/>
      <c r="BQ102" s="7">
        <v>0.0</v>
      </c>
      <c r="BR102" s="1"/>
      <c r="BS102" s="4"/>
      <c r="BT102" s="15"/>
      <c r="BU102" s="1"/>
      <c r="BV102" s="4"/>
      <c r="BW102" s="7">
        <v>0.0</v>
      </c>
      <c r="BX102" s="1"/>
      <c r="BY102" s="4"/>
      <c r="BZ102" s="7">
        <v>0.0</v>
      </c>
      <c r="CA102" s="1"/>
      <c r="CB102" s="4"/>
      <c r="CC102" s="7"/>
      <c r="CD102" s="1"/>
      <c r="CE102" s="4"/>
      <c r="CH102" s="1"/>
      <c r="CI102" s="1"/>
      <c r="CJ102" s="1"/>
      <c r="CK102" s="4"/>
      <c r="CL102" s="15"/>
      <c r="CM102" s="1"/>
      <c r="CN102" s="1"/>
      <c r="CO102" s="1"/>
      <c r="CP102" s="1"/>
      <c r="CQ102" s="4"/>
      <c r="CR102" s="15"/>
      <c r="CS102" s="1"/>
      <c r="CT102" s="4"/>
      <c r="CV102" s="1"/>
      <c r="CW102" s="4"/>
    </row>
    <row r="103">
      <c r="A103" s="49" t="s">
        <v>142</v>
      </c>
      <c r="C103" s="1">
        <f>B104+B99+B95+B91+B90+B89+B88+B84+B79+B80+B81+B82+B76</f>
        <v>15</v>
      </c>
      <c r="D103" s="8">
        <f t="shared" ref="D103:D104" si="124">C103/C$3*2000</f>
        <v>63.15789474</v>
      </c>
      <c r="E103" s="7"/>
      <c r="F103" s="1">
        <f>E104+E99+E95+E91+E90+E89+E88+E84+E79+E80+E81+E82+E76</f>
        <v>28</v>
      </c>
      <c r="G103" s="8">
        <f t="shared" ref="G103:G104" si="125">F103/F$3*2000</f>
        <v>93.33333333</v>
      </c>
      <c r="H103" s="7"/>
      <c r="I103" s="1">
        <f>H104+H99+H95+H91+H90+H89+H88+H84+H79+H80+H81+H82+H76</f>
        <v>12</v>
      </c>
      <c r="J103" s="8">
        <f t="shared" ref="J103:J104" si="126">I103/I$3*2000</f>
        <v>86.48648649</v>
      </c>
      <c r="K103" s="7"/>
      <c r="L103" s="1">
        <f>K104+K99+K95+K91+K90+K89+K88+K84+K79+K80+K81+K82+K76</f>
        <v>10</v>
      </c>
      <c r="M103" s="8">
        <f t="shared" ref="M103:M104" si="127">L103/L$3*2000</f>
        <v>37.31343284</v>
      </c>
      <c r="N103" s="7"/>
      <c r="O103" s="1">
        <f>N104+N99+N95+N91+N90+N89+N88+N84+N79+N80+N81+N82+N76</f>
        <v>13</v>
      </c>
      <c r="P103" s="8">
        <f t="shared" ref="P103:P104" si="128">O103/O$3*2000</f>
        <v>46.59498208</v>
      </c>
      <c r="Q103" s="1"/>
      <c r="R103" s="1"/>
      <c r="S103" s="3">
        <f>sum(Q76:R76)+sum(Q79:R82)+sum(Q84:R84)+sum(Q88:R91)+sum(Q95:R95)+sum(Q104:R104)</f>
        <v>0</v>
      </c>
      <c r="T103" s="8">
        <f t="shared" ref="T103:T104" si="129">S103/S$3*2000</f>
        <v>0</v>
      </c>
      <c r="U103" s="7"/>
      <c r="V103" s="1">
        <f>U104+U99+U95+U91+U90+U89+U88+U84+U79+U80+U81+U82+U76</f>
        <v>26</v>
      </c>
      <c r="W103" s="8">
        <f t="shared" ref="W103:W104" si="130">V103/V$3*2000</f>
        <v>99.04761905</v>
      </c>
      <c r="X103" s="7"/>
      <c r="Y103" s="1">
        <f>X104+X99+X95+X91+X90+X89+X88+X84+X79+X80+X81+X82+X76</f>
        <v>19</v>
      </c>
      <c r="Z103" s="8">
        <f t="shared" ref="Z103:Z104" si="131">Y103/Y$3*2000</f>
        <v>80.21108179</v>
      </c>
      <c r="AA103" s="7"/>
      <c r="AB103" s="1">
        <f>AA104+AA99+AA95+AA91+AA90+AA89+AA88+AA84+AA79+AA80+AA81+AA82+AA76</f>
        <v>6</v>
      </c>
      <c r="AC103" s="8">
        <f t="shared" ref="AC103:AC104" si="132">AB103/AB$3*2000</f>
        <v>20</v>
      </c>
      <c r="AE103" s="1">
        <f>AD104+AD99+AD95+AD91+AD90+AD89+AD88+AD84+AD79+AD80+AD81+AD82+AD76</f>
        <v>28</v>
      </c>
      <c r="AF103" s="8">
        <f t="shared" ref="AF103:AF104" si="133">AE103/AE$3*2000</f>
        <v>119.4666667</v>
      </c>
      <c r="AG103" s="7"/>
      <c r="AH103" s="1">
        <f>AG104+AG99+AG95+AG91+AG90+AG89+AG88+AG84+AG79+AG80+AG81+AG82+AG76</f>
        <v>18</v>
      </c>
      <c r="AI103" s="8">
        <f t="shared" ref="AI103:AI104" si="134">AH103/AH$3*2000</f>
        <v>62.82722513</v>
      </c>
      <c r="AK103" s="1">
        <f>AJ104+AJ99+AJ95+AJ91+AJ90+AJ89+AJ88+AJ84+AJ79+AJ80+AJ81+AJ82+AJ76</f>
        <v>3</v>
      </c>
      <c r="AL103" s="8">
        <f t="shared" ref="AL103:AL104" si="135">AK103/AK$3*2000</f>
        <v>15.07537688</v>
      </c>
      <c r="AN103" s="1">
        <f>AM104+AM99+AM95+AM91+AM90+AM89+AM88+AM84+AM79+AM80+AM81+AM82+AM76</f>
        <v>0</v>
      </c>
      <c r="AO103" s="8">
        <f t="shared" ref="AO103:AO104" si="136">AN103/AN$3*2000</f>
        <v>0</v>
      </c>
      <c r="AP103" s="7">
        <v>0.0</v>
      </c>
      <c r="AQ103" s="1">
        <f>AP104+AP99+AP95+AP91+AP90+AP89+AP88+AP84+AP79+AP80+AP81+AP82+AP76</f>
        <v>17</v>
      </c>
      <c r="AR103" s="8">
        <f t="shared" ref="AR103:AR104" si="137">AQ103/AQ$3*2000</f>
        <v>17.11983887</v>
      </c>
      <c r="AS103" s="7">
        <v>2.0</v>
      </c>
      <c r="AT103" s="1">
        <f>AS104+AS99+AS95+AS91+AS90+AS89+AS88+AS84+AS79+AS80+AS81+AS82+AS76</f>
        <v>36</v>
      </c>
      <c r="AU103" s="8">
        <f t="shared" ref="AU103:AU104" si="138">AT103/AT$3*2000</f>
        <v>35.38083538</v>
      </c>
      <c r="AV103" s="3">
        <v>2.0</v>
      </c>
      <c r="AW103" s="1">
        <f>AV104+AV99+AV95+AV91+AV90+AV89+AV88+AV84+AV79+AV80+AV81+AV82+AV76</f>
        <v>9</v>
      </c>
      <c r="AX103" s="8">
        <f t="shared" ref="AX103:AX104" si="139">AW103/AW$3*2000</f>
        <v>8.333333333</v>
      </c>
      <c r="AY103" s="1"/>
      <c r="AZ103" s="1"/>
      <c r="BA103" s="1"/>
      <c r="BB103" s="1"/>
      <c r="BC103" s="3">
        <f>sum(AY76:BB76)+sum(AY79:BB82)+sum(AY84:BB84)+sum(AY88:BB91)+sum(AY95:BB95)+sum(AY104:BB104)</f>
        <v>0</v>
      </c>
      <c r="BD103" s="9">
        <f t="shared" ref="BD103:BD104" si="140">BC103/BC$3*2000</f>
        <v>0</v>
      </c>
      <c r="BE103" s="7"/>
      <c r="BF103" s="1">
        <f>BE104+BE99+BE95+BE91+BE90+BE89+BE88+BE84+BE79+BE80+BE81+BE82+BE76</f>
        <v>0</v>
      </c>
      <c r="BG103" s="8">
        <f t="shared" ref="BG103:BG104" si="141">BF103/BF$3*2000</f>
        <v>0</v>
      </c>
      <c r="BH103" s="3">
        <v>3.0</v>
      </c>
      <c r="BI103" s="3">
        <v>2.0</v>
      </c>
      <c r="BJ103" s="3">
        <v>1.0</v>
      </c>
      <c r="BK103" s="3">
        <v>4.0</v>
      </c>
      <c r="BL103" s="3">
        <f>sum(BH76:BK76)+sum(BH79:BK82)+sum(BH84:BK84)+sum(BH88:BK91)+sum(BH95:BK95)+sum(BH104:BK104)</f>
        <v>2</v>
      </c>
      <c r="BM103" s="8">
        <f t="shared" ref="BM103:BM104" si="142">BL103/BL$3*2000</f>
        <v>1.355472721</v>
      </c>
      <c r="BN103" s="7">
        <v>0.0</v>
      </c>
      <c r="BO103" s="1">
        <f>BN104+BN99+BN95+BN91+BN90+BN89+BN88+BN84+BN79+BN80+BN81+BN82+BN76</f>
        <v>9</v>
      </c>
      <c r="BP103" s="8">
        <f t="shared" ref="BP103:BP104" si="143">BO103/BO$3*2000</f>
        <v>11.53846154</v>
      </c>
      <c r="BQ103" s="7">
        <v>1.0</v>
      </c>
      <c r="BR103" s="1">
        <f>BQ104+BQ99+BQ95+BQ91+BQ90+BQ89+BQ88+BQ84+BQ79+BQ80+BQ81+BQ82+BQ76</f>
        <v>13</v>
      </c>
      <c r="BS103" s="8">
        <f t="shared" ref="BS103:BS104" si="144">BR103/BR$3*2000</f>
        <v>12.9160457</v>
      </c>
      <c r="BT103" s="6"/>
      <c r="BU103" s="15">
        <f>BT104+BT99+BT95+BT91+BT90+BT89+BT88+BT84+BT79+BT80+BT81+BT82+BT76</f>
        <v>1</v>
      </c>
      <c r="BV103" s="8">
        <f t="shared" ref="BV103:BV104" si="145">BU103/BU$3*2000</f>
        <v>4.160166407</v>
      </c>
      <c r="BW103" s="7">
        <v>2.0</v>
      </c>
      <c r="BX103" s="1">
        <f>BW104+BW99+BW95+BW91+BW90+BW89+BW88+BW84+BW79+BW80+BW81+BW82+BW76</f>
        <v>13</v>
      </c>
      <c r="BY103" s="8">
        <f t="shared" ref="BY103:BY104" si="146">BX103/BX$3*2000</f>
        <v>19.00584795</v>
      </c>
      <c r="BZ103" s="7">
        <v>0.0</v>
      </c>
      <c r="CA103" s="1">
        <f>BZ104+BZ99+BZ95+BZ91+BZ90+BZ89+BZ88+BZ84+BZ79+BZ80+BZ81+BZ82+BZ76</f>
        <v>0</v>
      </c>
      <c r="CB103" s="8">
        <f t="shared" ref="CB103:CB104" si="147">CA103/CA$3*2000</f>
        <v>0</v>
      </c>
      <c r="CC103" s="7"/>
      <c r="CD103" s="1">
        <f>CC104+CC99+CC95+CC91+CC90+CC89+CC88+CC84+CC79+CC80+CC81+CC82+CC76</f>
        <v>1</v>
      </c>
      <c r="CE103" s="8">
        <f t="shared" ref="CE103:CE104" si="148">CD103/CD$3*2000</f>
        <v>3.710575139</v>
      </c>
      <c r="CF103" s="2">
        <v>1.0</v>
      </c>
      <c r="CG103" s="2">
        <v>1.0</v>
      </c>
      <c r="CH103" s="3">
        <v>1.0</v>
      </c>
      <c r="CI103" s="3">
        <v>1.0</v>
      </c>
      <c r="CJ103" s="3">
        <f>sum(CF76:CI76)+sum(CF79:CI82)+sum(CF84:CI84)+sum(CF88:CI91)+sum(CF95:CI95)+sum(CF104:CI104)</f>
        <v>1</v>
      </c>
      <c r="CK103" s="8">
        <f t="shared" ref="CK103:CK104" si="149">CJ103/CJ$3*2000</f>
        <v>0.7052186178</v>
      </c>
      <c r="CL103" s="6"/>
      <c r="CM103" s="1"/>
      <c r="CN103" s="1"/>
      <c r="CO103" s="1"/>
      <c r="CP103" s="6">
        <f>sum(CL76:CO76)+sum(CL79:CO82)+sum(CL84:CO84)+sum(CL88:CO91)+sum(CL95:CO95)+sum(CL104:CO104)</f>
        <v>3</v>
      </c>
      <c r="CQ103" s="8">
        <f t="shared" ref="CQ103:CQ104" si="150">CP103/CP$3*2000</f>
        <v>4.021447721</v>
      </c>
      <c r="CR103" s="6">
        <v>3.0</v>
      </c>
      <c r="CS103" s="15">
        <f>CR104+CR99+CR95+CR91+CR90+CR89+CR88+CR84+CR79+CR80+CR81+CR82+CR76</f>
        <v>0</v>
      </c>
      <c r="CT103" s="8">
        <f t="shared" ref="CT103:CT104" si="151">CS103/CS$3*2000</f>
        <v>0</v>
      </c>
      <c r="CV103" s="1">
        <f>CU104+CU99+CU95+CU91+CU90+CU89+CU88+CU84+CU79+CU80+CU81+CU82+CU76</f>
        <v>0</v>
      </c>
      <c r="CW103" s="8">
        <f t="shared" ref="CW103:CW104" si="152">CV103/CV$3*2000</f>
        <v>0</v>
      </c>
    </row>
    <row r="104">
      <c r="A104" s="51" t="s">
        <v>143</v>
      </c>
      <c r="C104" s="7">
        <f>sum(B73:B104)</f>
        <v>48</v>
      </c>
      <c r="D104" s="16">
        <f t="shared" si="124"/>
        <v>202.1052632</v>
      </c>
      <c r="E104" s="12">
        <v>1.0</v>
      </c>
      <c r="F104" s="7">
        <f>sum(E73:E104)</f>
        <v>73</v>
      </c>
      <c r="G104" s="16">
        <f t="shared" si="125"/>
        <v>243.3333333</v>
      </c>
      <c r="H104" s="12">
        <v>1.0</v>
      </c>
      <c r="I104" s="7">
        <f>sum(H73:H104)</f>
        <v>29</v>
      </c>
      <c r="J104" s="16">
        <f t="shared" si="126"/>
        <v>209.009009</v>
      </c>
      <c r="K104" s="7"/>
      <c r="L104" s="7">
        <f>sum(K73:K104)</f>
        <v>76</v>
      </c>
      <c r="M104" s="16">
        <f t="shared" si="127"/>
        <v>283.5820896</v>
      </c>
      <c r="N104" s="12">
        <v>2.0</v>
      </c>
      <c r="O104" s="7">
        <f>sum(N73:N104)</f>
        <v>72</v>
      </c>
      <c r="P104" s="16">
        <f t="shared" si="128"/>
        <v>258.0645161</v>
      </c>
      <c r="Q104" s="1"/>
      <c r="R104" s="1"/>
      <c r="S104" s="7">
        <f>sum(Q73:R104)</f>
        <v>166</v>
      </c>
      <c r="T104" s="16">
        <f t="shared" si="129"/>
        <v>698.9473684</v>
      </c>
      <c r="U104" s="7"/>
      <c r="V104" s="7">
        <f>sum(U73:U104)</f>
        <v>85</v>
      </c>
      <c r="W104" s="16">
        <f t="shared" si="130"/>
        <v>323.8095238</v>
      </c>
      <c r="X104" s="7"/>
      <c r="Y104" s="7">
        <f>sum(X73:X104)</f>
        <v>34</v>
      </c>
      <c r="Z104" s="16">
        <f t="shared" si="131"/>
        <v>143.5356201</v>
      </c>
      <c r="AA104" s="7"/>
      <c r="AB104" s="7">
        <f>sum(AA73:AA104)</f>
        <v>95</v>
      </c>
      <c r="AC104" s="16">
        <f t="shared" si="132"/>
        <v>316.6666667</v>
      </c>
      <c r="AE104" s="7">
        <f>sum(AD73:AD104)</f>
        <v>73</v>
      </c>
      <c r="AF104" s="16">
        <f t="shared" si="133"/>
        <v>311.4666667</v>
      </c>
      <c r="AG104" s="7"/>
      <c r="AH104" s="7">
        <f>sum(AG73:AG104)</f>
        <v>60</v>
      </c>
      <c r="AI104" s="16">
        <f t="shared" si="134"/>
        <v>209.4240838</v>
      </c>
      <c r="AK104" s="7">
        <f>sum(AJ73:AJ104)</f>
        <v>65</v>
      </c>
      <c r="AL104" s="16">
        <f t="shared" si="135"/>
        <v>326.6331658</v>
      </c>
      <c r="AN104" s="7">
        <f>sum(AM73:AM104)</f>
        <v>27</v>
      </c>
      <c r="AO104" s="16">
        <f t="shared" si="136"/>
        <v>219.5121951</v>
      </c>
      <c r="AP104" s="7">
        <v>0.0</v>
      </c>
      <c r="AQ104" s="7">
        <f>sum(AP73:AP104)</f>
        <v>288</v>
      </c>
      <c r="AR104" s="16">
        <f t="shared" si="137"/>
        <v>290.0302115</v>
      </c>
      <c r="AS104" s="7">
        <v>1.0</v>
      </c>
      <c r="AT104" s="7">
        <f>sum(AS73:AS104)</f>
        <v>303</v>
      </c>
      <c r="AU104" s="16">
        <f t="shared" si="138"/>
        <v>297.7886978</v>
      </c>
      <c r="AV104" s="1"/>
      <c r="AW104" s="7">
        <f>sum(AV73:AV104)</f>
        <v>415</v>
      </c>
      <c r="AX104" s="16">
        <f t="shared" si="139"/>
        <v>384.2592593</v>
      </c>
      <c r="AY104" s="1"/>
      <c r="AZ104" s="1"/>
      <c r="BA104" s="1"/>
      <c r="BB104" s="1"/>
      <c r="BC104" s="7">
        <f>sum(AY73:BB104)</f>
        <v>358</v>
      </c>
      <c r="BD104" s="18">
        <f t="shared" si="140"/>
        <v>458.6803331</v>
      </c>
      <c r="BE104" s="7"/>
      <c r="BF104" s="7">
        <f>sum(BE73:BE104)</f>
        <v>44</v>
      </c>
      <c r="BG104" s="16">
        <f t="shared" si="141"/>
        <v>261.1275964</v>
      </c>
      <c r="BH104" s="1"/>
      <c r="BI104" s="1"/>
      <c r="BJ104" s="1"/>
      <c r="BK104" s="1"/>
      <c r="BL104" s="7">
        <f>sum(BH73:BK104)</f>
        <v>565</v>
      </c>
      <c r="BM104" s="16">
        <f t="shared" si="142"/>
        <v>382.9210437</v>
      </c>
      <c r="BN104" s="7">
        <v>0.0</v>
      </c>
      <c r="BO104" s="7">
        <f>sum(BN73:BN104)</f>
        <v>190</v>
      </c>
      <c r="BP104" s="16">
        <f t="shared" si="143"/>
        <v>243.5897436</v>
      </c>
      <c r="BQ104" s="7">
        <v>1.0</v>
      </c>
      <c r="BR104" s="7">
        <f>sum(BQ73:BQ104)</f>
        <v>155</v>
      </c>
      <c r="BS104" s="16">
        <f t="shared" si="144"/>
        <v>153.9990065</v>
      </c>
      <c r="BT104" s="15"/>
      <c r="BU104" s="11">
        <f>sum(BT73:BT104)</f>
        <v>41</v>
      </c>
      <c r="BV104" s="16">
        <f t="shared" si="145"/>
        <v>170.5668227</v>
      </c>
      <c r="BW104" s="7">
        <v>0.0</v>
      </c>
      <c r="BX104" s="7">
        <f>sum(BW73:BW104)</f>
        <v>148</v>
      </c>
      <c r="BY104" s="16">
        <f t="shared" si="146"/>
        <v>216.374269</v>
      </c>
      <c r="BZ104" s="7">
        <v>0.0</v>
      </c>
      <c r="CA104" s="7">
        <f>sum(BZ73:BZ104)</f>
        <v>51</v>
      </c>
      <c r="CB104" s="16">
        <f t="shared" si="147"/>
        <v>192.4528302</v>
      </c>
      <c r="CC104" s="7"/>
      <c r="CD104" s="7">
        <f>sum(CC73:CC104)</f>
        <v>56</v>
      </c>
      <c r="CE104" s="16">
        <f t="shared" si="148"/>
        <v>207.7922078</v>
      </c>
      <c r="CH104" s="1"/>
      <c r="CI104" s="1"/>
      <c r="CJ104" s="7">
        <f>sum(CF73:CI104)</f>
        <v>317</v>
      </c>
      <c r="CK104" s="16">
        <f t="shared" si="149"/>
        <v>223.5543018</v>
      </c>
      <c r="CL104" s="15"/>
      <c r="CM104" s="7"/>
      <c r="CN104" s="7"/>
      <c r="CO104" s="7"/>
      <c r="CP104" s="11">
        <f>sum(CL73:CO104)</f>
        <v>138</v>
      </c>
      <c r="CQ104" s="16">
        <f t="shared" si="150"/>
        <v>184.9865952</v>
      </c>
      <c r="CR104" s="15"/>
      <c r="CS104" s="11">
        <f>sum(CR73:CR104)</f>
        <v>191</v>
      </c>
      <c r="CT104" s="16">
        <f t="shared" si="151"/>
        <v>140.7775935</v>
      </c>
      <c r="CV104" s="7">
        <f>sum(CU73:CU104)</f>
        <v>55</v>
      </c>
      <c r="CW104" s="16">
        <f t="shared" si="152"/>
        <v>142.9964251</v>
      </c>
    </row>
    <row r="105">
      <c r="A105" s="53" t="s">
        <v>144</v>
      </c>
      <c r="C105" s="7"/>
      <c r="D105" s="8">
        <f>C104/C3*2000+D73</f>
        <v>1444.210526</v>
      </c>
      <c r="E105" s="12">
        <v>3.0</v>
      </c>
      <c r="F105" s="7"/>
      <c r="G105" s="8">
        <f>F104/F3*2000+G73</f>
        <v>1220</v>
      </c>
      <c r="H105" s="12">
        <v>4.0</v>
      </c>
      <c r="I105" s="7"/>
      <c r="J105" s="8">
        <f>I104/I3*2000+J73</f>
        <v>1254.054054</v>
      </c>
      <c r="K105" s="12">
        <v>6.0</v>
      </c>
      <c r="L105" s="7"/>
      <c r="M105" s="8">
        <f>L104/L3*2000+M73</f>
        <v>1223.880597</v>
      </c>
      <c r="N105" s="12">
        <v>16.0</v>
      </c>
      <c r="O105" s="7"/>
      <c r="P105" s="8">
        <f>O104/O3*2000+P73</f>
        <v>870.9677419</v>
      </c>
      <c r="Q105" s="1"/>
      <c r="R105" s="1"/>
      <c r="S105" s="7"/>
      <c r="T105" s="8">
        <f>S104/S3*2000+T73</f>
        <v>1402.105263</v>
      </c>
      <c r="U105" s="12">
        <v>1.0</v>
      </c>
      <c r="V105" s="7"/>
      <c r="W105" s="8">
        <f>V104/V3*2000+W73</f>
        <v>899.047619</v>
      </c>
      <c r="X105" s="12">
        <v>0.0</v>
      </c>
      <c r="Y105" s="12" t="s">
        <v>145</v>
      </c>
      <c r="Z105" s="8">
        <f>Y104/Y3*2000+Z73</f>
        <v>1334.036939</v>
      </c>
      <c r="AA105" s="12">
        <v>8.0</v>
      </c>
      <c r="AB105" s="7"/>
      <c r="AC105" s="8">
        <f>AB104/AB3*2000+AC73</f>
        <v>1443.333333</v>
      </c>
      <c r="AD105" s="2">
        <v>7.0</v>
      </c>
      <c r="AE105" s="7"/>
      <c r="AF105" s="8">
        <f>AE104/AE3*2000+AF73</f>
        <v>1262.933333</v>
      </c>
      <c r="AG105" s="12">
        <v>2.0</v>
      </c>
      <c r="AH105" s="7"/>
      <c r="AI105" s="8">
        <f>AH104/AH3*2000+AI73</f>
        <v>1036.649215</v>
      </c>
      <c r="AJ105" s="2">
        <v>3.0</v>
      </c>
      <c r="AK105" s="7"/>
      <c r="AL105" s="8">
        <f>AK104/AK3*2000+AL73</f>
        <v>623.1155779</v>
      </c>
      <c r="AM105" s="2">
        <v>2.0</v>
      </c>
      <c r="AN105" s="7"/>
      <c r="AO105" s="8">
        <f>AN104/AN3*2000+AO73</f>
        <v>406.504065</v>
      </c>
      <c r="AP105" s="7">
        <v>39.0</v>
      </c>
      <c r="AQ105" s="7"/>
      <c r="AR105" s="8">
        <f>AQ104/AQ3*2000+AR73</f>
        <v>824.7734139</v>
      </c>
      <c r="AS105" s="7">
        <v>39.0</v>
      </c>
      <c r="AT105" s="7"/>
      <c r="AU105" s="8">
        <f>AT104/AT3*2000+AU73</f>
        <v>800</v>
      </c>
      <c r="AV105" s="12">
        <v>30.0</v>
      </c>
      <c r="AW105" s="7"/>
      <c r="AX105" s="8">
        <f>AW104/AW3*2000+AX73</f>
        <v>959.2592593</v>
      </c>
      <c r="AY105" s="7"/>
      <c r="AZ105" s="7"/>
      <c r="BA105" s="7">
        <v>12.0</v>
      </c>
      <c r="BB105" s="7"/>
      <c r="BC105" s="7"/>
      <c r="BD105" s="9">
        <f>BC104/BC3*2000+BD73</f>
        <v>912.2357463</v>
      </c>
      <c r="BE105" s="12">
        <v>9.0</v>
      </c>
      <c r="BF105" s="7"/>
      <c r="BG105" s="8">
        <f>BF104/BF3*2000+BG73</f>
        <v>807.1216617</v>
      </c>
      <c r="BH105" s="3">
        <v>7.0</v>
      </c>
      <c r="BI105" s="12">
        <v>10.0</v>
      </c>
      <c r="BJ105" s="3">
        <v>13.0</v>
      </c>
      <c r="BK105" s="3">
        <v>8.0</v>
      </c>
      <c r="BL105" s="7"/>
      <c r="BM105" s="8">
        <f>BL104/BL3*2000+BM73</f>
        <v>761.0979329</v>
      </c>
      <c r="BN105" s="7">
        <v>16.0</v>
      </c>
      <c r="BO105" s="7"/>
      <c r="BP105" s="8">
        <f>BO104/BO3*2000+BP73</f>
        <v>574.3589744</v>
      </c>
      <c r="BQ105" s="7">
        <v>33.0</v>
      </c>
      <c r="BR105" s="7"/>
      <c r="BS105" s="8">
        <f>BR104/BR3*2000+BS73</f>
        <v>417.2876304</v>
      </c>
      <c r="BT105" s="10">
        <v>2.0</v>
      </c>
      <c r="BU105" s="7"/>
      <c r="BV105" s="8">
        <f>BU104/BU3*2000+BV73</f>
        <v>440.9776391</v>
      </c>
      <c r="BW105" s="7">
        <v>0.0</v>
      </c>
      <c r="BX105" s="7"/>
      <c r="BY105" s="8">
        <f>BX104/BX3*2000+BY73</f>
        <v>472.2222222</v>
      </c>
      <c r="BZ105" s="7">
        <v>12.0</v>
      </c>
      <c r="CA105" s="7"/>
      <c r="CB105" s="8">
        <f>CA104/CA3*2000+CB73</f>
        <v>415.0943396</v>
      </c>
      <c r="CC105" s="12">
        <v>2.0</v>
      </c>
      <c r="CD105" s="7"/>
      <c r="CE105" s="8">
        <f>CD104/CD3*2000+CE73</f>
        <v>397.0315399</v>
      </c>
      <c r="CF105" s="2">
        <v>2.0</v>
      </c>
      <c r="CH105" s="3">
        <v>6.0</v>
      </c>
      <c r="CI105" s="3">
        <v>5.0</v>
      </c>
      <c r="CJ105" s="7"/>
      <c r="CK105" s="8">
        <f>CJ104/CJ3*2000+CK73</f>
        <v>387.1650212</v>
      </c>
      <c r="CL105" s="10">
        <v>1.0</v>
      </c>
      <c r="CM105" s="12">
        <v>1.0</v>
      </c>
      <c r="CN105" s="7"/>
      <c r="CO105" s="12">
        <v>1.0</v>
      </c>
      <c r="CP105" s="7"/>
      <c r="CQ105" s="8">
        <f>CP104/CP3*2000+CQ73</f>
        <v>296.2466488</v>
      </c>
      <c r="CR105" s="10">
        <v>14.0</v>
      </c>
      <c r="CS105" s="7"/>
      <c r="CT105" s="8">
        <f>CS104/CS3*2000+CT73</f>
        <v>241.0171365</v>
      </c>
      <c r="CV105" s="7"/>
      <c r="CW105" s="8">
        <f>CV104/CV3*2000+CW73</f>
        <v>233.9941501</v>
      </c>
    </row>
    <row r="106">
      <c r="A106" s="53" t="s">
        <v>146</v>
      </c>
      <c r="C106" s="1"/>
      <c r="D106" s="4"/>
      <c r="E106" s="3">
        <v>1.0</v>
      </c>
      <c r="F106" s="1"/>
      <c r="G106" s="1"/>
      <c r="H106" s="3">
        <v>1.0</v>
      </c>
      <c r="I106" s="3">
        <v>2.0</v>
      </c>
      <c r="J106" s="4"/>
      <c r="K106" s="3">
        <v>4.0</v>
      </c>
      <c r="L106" s="1"/>
      <c r="M106" s="1"/>
      <c r="N106" s="1"/>
      <c r="O106" s="1"/>
      <c r="P106" s="1"/>
      <c r="Q106" s="1"/>
      <c r="R106" s="1"/>
      <c r="S106" s="1"/>
      <c r="T106" s="1"/>
      <c r="U106" s="3">
        <v>2.0</v>
      </c>
      <c r="V106" s="1"/>
      <c r="W106" s="1"/>
      <c r="X106" s="1"/>
      <c r="Y106" s="1"/>
      <c r="Z106" s="4"/>
      <c r="AA106" s="1"/>
      <c r="AB106" s="1"/>
      <c r="AC106" s="4"/>
      <c r="AE106" s="3">
        <v>2.0</v>
      </c>
      <c r="AF106" s="4"/>
      <c r="AG106" s="1"/>
      <c r="AH106" s="1"/>
      <c r="AI106" s="4"/>
      <c r="AK106" s="1"/>
      <c r="AL106" s="4"/>
      <c r="AN106" s="1"/>
      <c r="AO106" s="4"/>
      <c r="AP106" s="1"/>
      <c r="AQ106" s="1"/>
      <c r="AR106" s="4"/>
      <c r="AT106" s="1"/>
      <c r="AU106" s="4"/>
      <c r="AV106" s="1"/>
      <c r="AW106" s="1"/>
      <c r="AX106" s="4"/>
      <c r="AY106" s="1"/>
      <c r="AZ106" s="1"/>
      <c r="BA106" s="1"/>
      <c r="BB106" s="1"/>
      <c r="BC106" s="1"/>
      <c r="BD106" s="5"/>
      <c r="BE106" s="1"/>
      <c r="BF106" s="1"/>
      <c r="BG106" s="4"/>
      <c r="BH106" s="1"/>
      <c r="BI106" s="1"/>
      <c r="BJ106" s="1"/>
      <c r="BK106" s="1"/>
      <c r="BL106" s="1"/>
      <c r="BM106" s="4"/>
      <c r="BN106" s="1"/>
      <c r="BO106" s="1"/>
      <c r="BP106" s="4"/>
      <c r="BQ106" s="1"/>
      <c r="BR106" s="1"/>
      <c r="BS106" s="4"/>
      <c r="BT106" s="6">
        <v>1.0</v>
      </c>
      <c r="BU106" s="1"/>
      <c r="BV106" s="4"/>
      <c r="BW106" s="1"/>
      <c r="BX106" s="1"/>
      <c r="BY106" s="4"/>
      <c r="BZ106" s="1"/>
      <c r="CA106" s="1"/>
      <c r="CB106" s="4"/>
      <c r="CC106" s="1"/>
      <c r="CD106" s="1"/>
      <c r="CE106" s="4"/>
      <c r="CH106" s="1"/>
      <c r="CI106" s="1"/>
      <c r="CJ106" s="1"/>
      <c r="CK106" s="1"/>
      <c r="CL106" s="15"/>
      <c r="CM106" s="1"/>
      <c r="CN106" s="1"/>
      <c r="CO106" s="1"/>
      <c r="CP106" s="1"/>
      <c r="CQ106" s="4"/>
      <c r="CR106" s="15"/>
      <c r="CS106" s="1"/>
      <c r="CT106" s="4"/>
      <c r="CV106" s="1"/>
      <c r="CW106" s="4"/>
    </row>
    <row r="107">
      <c r="A107" s="53" t="s">
        <v>147</v>
      </c>
      <c r="C107" s="1"/>
      <c r="D107" s="4"/>
      <c r="E107" s="3">
        <v>1.0</v>
      </c>
      <c r="F107" s="1"/>
      <c r="G107" s="1"/>
      <c r="H107" s="1"/>
      <c r="I107" s="1"/>
      <c r="J107" s="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4"/>
      <c r="AA107" s="1"/>
      <c r="AB107" s="1"/>
      <c r="AC107" s="4"/>
      <c r="AE107" s="1"/>
      <c r="AF107" s="4"/>
      <c r="AG107" s="1"/>
      <c r="AH107" s="1"/>
      <c r="AI107" s="4"/>
      <c r="AK107" s="1"/>
      <c r="AL107" s="4"/>
      <c r="AN107" s="1"/>
      <c r="AO107" s="4"/>
      <c r="AP107" s="1"/>
      <c r="AQ107" s="1"/>
      <c r="AR107" s="4"/>
      <c r="AS107" s="1"/>
      <c r="AT107" s="1"/>
      <c r="AU107" s="4"/>
      <c r="AV107" s="1"/>
      <c r="AW107" s="1"/>
      <c r="AX107" s="4"/>
      <c r="AY107" s="1"/>
      <c r="AZ107" s="1"/>
      <c r="BA107" s="1"/>
      <c r="BB107" s="1"/>
      <c r="BC107" s="1"/>
      <c r="BD107" s="5"/>
      <c r="BE107" s="1"/>
      <c r="BF107" s="1"/>
      <c r="BG107" s="4"/>
      <c r="BH107" s="1"/>
      <c r="BI107" s="1"/>
      <c r="BJ107" s="1"/>
      <c r="BK107" s="1"/>
      <c r="BL107" s="1"/>
      <c r="BM107" s="4"/>
      <c r="BN107" s="1"/>
      <c r="BO107" s="1"/>
      <c r="BP107" s="4"/>
      <c r="BQ107" s="1"/>
      <c r="BR107" s="1"/>
      <c r="BS107" s="4"/>
      <c r="BT107" s="6">
        <v>1.0</v>
      </c>
      <c r="BU107" s="1"/>
      <c r="BV107" s="4"/>
      <c r="BW107" s="1"/>
      <c r="BX107" s="1"/>
      <c r="BY107" s="4"/>
      <c r="BZ107" s="1"/>
      <c r="CA107" s="1"/>
      <c r="CB107" s="4"/>
      <c r="CC107" s="1"/>
      <c r="CD107" s="1"/>
      <c r="CE107" s="4"/>
      <c r="CH107" s="1"/>
      <c r="CI107" s="1"/>
      <c r="CJ107" s="1"/>
      <c r="CK107" s="1"/>
      <c r="CL107" s="15"/>
      <c r="CM107" s="3">
        <v>1.0</v>
      </c>
      <c r="CN107" s="1"/>
      <c r="CO107" s="1"/>
      <c r="CP107" s="1"/>
      <c r="CQ107" s="4"/>
      <c r="CR107" s="15"/>
      <c r="CS107" s="1"/>
      <c r="CT107" s="4"/>
      <c r="CV107" s="1"/>
      <c r="CW107" s="4"/>
    </row>
    <row r="108">
      <c r="A108" s="53" t="s">
        <v>148</v>
      </c>
      <c r="C108" s="1"/>
      <c r="D108" s="4"/>
      <c r="E108" s="1"/>
      <c r="F108" s="1"/>
      <c r="G108" s="1"/>
      <c r="H108" s="1"/>
      <c r="I108" s="1"/>
      <c r="J108" s="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4"/>
      <c r="AA108" s="1"/>
      <c r="AB108" s="1"/>
      <c r="AC108" s="4"/>
      <c r="AE108" s="1"/>
      <c r="AF108" s="4"/>
      <c r="AG108" s="1"/>
      <c r="AH108" s="1"/>
      <c r="AI108" s="4"/>
      <c r="AK108" s="1"/>
      <c r="AL108" s="4"/>
      <c r="AN108" s="1"/>
      <c r="AO108" s="4"/>
      <c r="AP108" s="1"/>
      <c r="AQ108" s="1"/>
      <c r="AR108" s="4"/>
      <c r="AS108" s="1"/>
      <c r="AT108" s="1"/>
      <c r="AU108" s="4"/>
      <c r="AV108" s="1"/>
      <c r="AW108" s="1"/>
      <c r="AX108" s="4"/>
      <c r="AY108" s="1"/>
      <c r="AZ108" s="1"/>
      <c r="BA108" s="1"/>
      <c r="BB108" s="1"/>
      <c r="BC108" s="1"/>
      <c r="BD108" s="5"/>
      <c r="BE108" s="1"/>
      <c r="BF108" s="1"/>
      <c r="BG108" s="4"/>
      <c r="BH108" s="1"/>
      <c r="BI108" s="1"/>
      <c r="BJ108" s="1"/>
      <c r="BK108" s="1"/>
      <c r="BL108" s="1"/>
      <c r="BM108" s="4"/>
      <c r="BN108" s="1"/>
      <c r="BO108" s="1"/>
      <c r="BP108" s="4"/>
      <c r="BQ108" s="1"/>
      <c r="BR108" s="1"/>
      <c r="BS108" s="4"/>
      <c r="BT108" s="15"/>
      <c r="BU108" s="1"/>
      <c r="BV108" s="4"/>
      <c r="BW108" s="1"/>
      <c r="BX108" s="1"/>
      <c r="BY108" s="4"/>
      <c r="BZ108" s="7">
        <v>1.0</v>
      </c>
      <c r="CA108" s="1"/>
      <c r="CB108" s="4"/>
      <c r="CC108" s="7"/>
      <c r="CD108" s="1"/>
      <c r="CE108" s="4"/>
      <c r="CH108" s="1"/>
      <c r="CI108" s="1"/>
      <c r="CJ108" s="1"/>
      <c r="CK108" s="1"/>
      <c r="CL108" s="15"/>
      <c r="CM108" s="1"/>
      <c r="CN108" s="1"/>
      <c r="CO108" s="1"/>
      <c r="CP108" s="1"/>
      <c r="CQ108" s="4"/>
      <c r="CR108" s="15"/>
      <c r="CS108" s="1"/>
      <c r="CT108" s="4"/>
      <c r="CV108" s="1"/>
      <c r="CW108" s="4"/>
    </row>
    <row r="109">
      <c r="A109" s="53" t="s">
        <v>149</v>
      </c>
      <c r="C109" s="1"/>
      <c r="D109" s="4"/>
      <c r="E109" s="1"/>
      <c r="F109" s="1"/>
      <c r="G109" s="1"/>
      <c r="H109" s="1"/>
      <c r="I109" s="1"/>
      <c r="J109" s="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4"/>
      <c r="AA109" s="1"/>
      <c r="AB109" s="1"/>
      <c r="AC109" s="4"/>
      <c r="AE109" s="1"/>
      <c r="AF109" s="4"/>
      <c r="AG109" s="1"/>
      <c r="AH109" s="1"/>
      <c r="AI109" s="4"/>
      <c r="AK109" s="1"/>
      <c r="AL109" s="4"/>
      <c r="AN109" s="1"/>
      <c r="AO109" s="4"/>
      <c r="AP109" s="1"/>
      <c r="AQ109" s="1"/>
      <c r="AR109" s="4"/>
      <c r="AS109" s="1"/>
      <c r="AT109" s="1"/>
      <c r="AU109" s="4"/>
      <c r="AV109" s="1"/>
      <c r="AW109" s="1"/>
      <c r="AX109" s="4"/>
      <c r="AY109" s="1"/>
      <c r="AZ109" s="1"/>
      <c r="BA109" s="1"/>
      <c r="BB109" s="1"/>
      <c r="BC109" s="1"/>
      <c r="BD109" s="5"/>
      <c r="BE109" s="1"/>
      <c r="BF109" s="1"/>
      <c r="BG109" s="4"/>
      <c r="BH109" s="1"/>
      <c r="BI109" s="1"/>
      <c r="BJ109" s="1"/>
      <c r="BK109" s="1"/>
      <c r="BL109" s="1"/>
      <c r="BM109" s="4"/>
      <c r="BN109" s="1"/>
      <c r="BO109" s="1"/>
      <c r="BP109" s="4"/>
      <c r="BQ109" s="1"/>
      <c r="BR109" s="1"/>
      <c r="BS109" s="4"/>
      <c r="BT109" s="15"/>
      <c r="BU109" s="1"/>
      <c r="BV109" s="4"/>
      <c r="BW109" s="1"/>
      <c r="BX109" s="1"/>
      <c r="BY109" s="4"/>
      <c r="BZ109" s="1"/>
      <c r="CA109" s="1"/>
      <c r="CB109" s="4"/>
      <c r="CC109" s="1"/>
      <c r="CD109" s="1"/>
      <c r="CE109" s="4"/>
      <c r="CH109" s="1"/>
      <c r="CI109" s="1"/>
      <c r="CJ109" s="1"/>
      <c r="CK109" s="1"/>
      <c r="CL109" s="15"/>
      <c r="CM109" s="1"/>
      <c r="CN109" s="1"/>
      <c r="CO109" s="1"/>
      <c r="CP109" s="1"/>
      <c r="CQ109" s="4"/>
      <c r="CR109" s="15"/>
      <c r="CS109" s="1"/>
      <c r="CT109" s="4"/>
      <c r="CV109" s="1"/>
      <c r="CW109" s="4"/>
    </row>
    <row r="110">
      <c r="A110" s="53" t="s">
        <v>150</v>
      </c>
      <c r="C110" s="1"/>
      <c r="D110" s="4"/>
      <c r="E110" s="3">
        <v>1.0</v>
      </c>
      <c r="F110" s="1"/>
      <c r="G110" s="1"/>
      <c r="H110" s="1"/>
      <c r="I110" s="1"/>
      <c r="J110" s="4"/>
      <c r="K110" s="3">
        <v>1.0</v>
      </c>
      <c r="L110" s="1"/>
      <c r="M110" s="1"/>
      <c r="N110" s="1"/>
      <c r="O110" s="1"/>
      <c r="P110" s="1"/>
      <c r="Q110" s="3">
        <v>1.0</v>
      </c>
      <c r="R110" s="1"/>
      <c r="S110" s="1"/>
      <c r="T110" s="1"/>
      <c r="U110" s="3">
        <v>1.0</v>
      </c>
      <c r="V110" s="1"/>
      <c r="W110" s="1"/>
      <c r="X110" s="1"/>
      <c r="Y110" s="1"/>
      <c r="Z110" s="4"/>
      <c r="AA110" s="1"/>
      <c r="AB110" s="1"/>
      <c r="AC110" s="4"/>
      <c r="AE110" s="1"/>
      <c r="AF110" s="4"/>
      <c r="AG110" s="1"/>
      <c r="AH110" s="1"/>
      <c r="AI110" s="4"/>
      <c r="AK110" s="1"/>
      <c r="AL110" s="4"/>
      <c r="AN110" s="1"/>
      <c r="AO110" s="4"/>
      <c r="AP110" s="1"/>
      <c r="AQ110" s="1"/>
      <c r="AR110" s="4"/>
      <c r="AS110" s="1"/>
      <c r="AT110" s="1"/>
      <c r="AU110" s="4"/>
      <c r="AV110" s="1"/>
      <c r="AW110" s="1"/>
      <c r="AX110" s="4"/>
      <c r="AY110" s="1"/>
      <c r="AZ110" s="1"/>
      <c r="BA110" s="1"/>
      <c r="BB110" s="1"/>
      <c r="BC110" s="1"/>
      <c r="BD110" s="5"/>
      <c r="BE110" s="7"/>
      <c r="BF110" s="1"/>
      <c r="BG110" s="4"/>
      <c r="BH110" s="1"/>
      <c r="BI110" s="1"/>
      <c r="BJ110" s="1"/>
      <c r="BK110" s="1"/>
      <c r="BL110" s="1"/>
      <c r="BM110" s="4"/>
      <c r="BN110" s="7">
        <v>2.0</v>
      </c>
      <c r="BO110" s="1"/>
      <c r="BP110" s="4"/>
      <c r="BQ110" s="1"/>
      <c r="BR110" s="1"/>
      <c r="BS110" s="4"/>
      <c r="BT110" s="15"/>
      <c r="BU110" s="1"/>
      <c r="BV110" s="4"/>
      <c r="BW110" s="1"/>
      <c r="BX110" s="1"/>
      <c r="BY110" s="4"/>
      <c r="BZ110" s="1"/>
      <c r="CA110" s="1"/>
      <c r="CB110" s="4"/>
      <c r="CC110" s="1"/>
      <c r="CD110" s="1"/>
      <c r="CE110" s="4"/>
      <c r="CH110" s="1"/>
      <c r="CI110" s="1"/>
      <c r="CJ110" s="1"/>
      <c r="CK110" s="1"/>
      <c r="CL110" s="15"/>
      <c r="CM110" s="1"/>
      <c r="CN110" s="1"/>
      <c r="CO110" s="1"/>
      <c r="CP110" s="1"/>
      <c r="CQ110" s="4"/>
      <c r="CR110" s="15"/>
      <c r="CS110" s="1"/>
      <c r="CT110" s="4"/>
      <c r="CV110" s="1"/>
      <c r="CW110" s="4"/>
    </row>
    <row r="111">
      <c r="A111" s="53" t="s">
        <v>151</v>
      </c>
      <c r="C111" s="1"/>
      <c r="D111" s="4"/>
      <c r="E111" s="1"/>
      <c r="F111" s="1"/>
      <c r="G111" s="1"/>
      <c r="H111" s="1"/>
      <c r="I111" s="1"/>
      <c r="J111" s="4"/>
      <c r="K111" s="1"/>
      <c r="L111" s="1"/>
      <c r="M111" s="1"/>
      <c r="N111" s="1"/>
      <c r="O111" s="1"/>
      <c r="P111" s="1"/>
      <c r="Q111" s="1"/>
      <c r="R111" s="1"/>
      <c r="T111" s="1"/>
      <c r="U111" s="1"/>
      <c r="V111" s="1"/>
      <c r="W111" s="1"/>
      <c r="X111" s="1"/>
      <c r="Y111" s="1"/>
      <c r="Z111" s="4"/>
      <c r="AA111" s="1"/>
      <c r="AB111" s="1"/>
      <c r="AC111" s="4"/>
      <c r="AE111" s="1"/>
      <c r="AF111" s="4"/>
      <c r="AG111" s="1"/>
      <c r="AH111" s="1"/>
      <c r="AI111" s="4"/>
      <c r="AJ111" s="1"/>
      <c r="AK111" s="1"/>
      <c r="AL111" s="4"/>
      <c r="AM111" s="1"/>
      <c r="AN111" s="1"/>
      <c r="AO111" s="4"/>
      <c r="AP111" s="1"/>
      <c r="AQ111" s="1"/>
      <c r="AR111" s="4"/>
      <c r="AS111" s="1"/>
      <c r="AT111" s="1"/>
      <c r="AU111" s="4"/>
      <c r="AV111" s="1"/>
      <c r="AW111" s="1"/>
      <c r="AX111" s="4"/>
      <c r="AY111" s="1"/>
      <c r="AZ111" s="1"/>
      <c r="BA111" s="1"/>
      <c r="BB111" s="1"/>
      <c r="BC111" s="1"/>
      <c r="BD111" s="5"/>
      <c r="BE111" s="1"/>
      <c r="BF111" s="1"/>
      <c r="BG111" s="4"/>
      <c r="BH111" s="1"/>
      <c r="BI111" s="1"/>
      <c r="BJ111" s="1"/>
      <c r="BK111" s="1"/>
      <c r="BL111" s="1"/>
      <c r="BM111" s="4"/>
      <c r="BN111" s="1"/>
      <c r="BO111" s="1"/>
      <c r="BP111" s="4"/>
      <c r="BQ111" s="1"/>
      <c r="BR111" s="1"/>
      <c r="BS111" s="4"/>
      <c r="BT111" s="15"/>
      <c r="BU111" s="1"/>
      <c r="BV111" s="4"/>
      <c r="BW111" s="1"/>
      <c r="BX111" s="1"/>
      <c r="BY111" s="4"/>
      <c r="BZ111" s="1"/>
      <c r="CA111" s="1"/>
      <c r="CB111" s="4"/>
      <c r="CC111" s="1"/>
      <c r="CD111" s="1"/>
      <c r="CE111" s="4"/>
      <c r="CF111" s="1"/>
      <c r="CG111" s="15"/>
      <c r="CK111" s="1"/>
      <c r="CL111" s="15"/>
      <c r="CM111" s="1"/>
      <c r="CN111" s="1"/>
      <c r="CO111" s="1"/>
      <c r="CP111" s="1"/>
      <c r="CQ111" s="4"/>
      <c r="CR111" s="15"/>
      <c r="CS111" s="1"/>
      <c r="CT111" s="4"/>
      <c r="CV111" s="1"/>
      <c r="CW111" s="4"/>
      <c r="DH111" s="1"/>
      <c r="DI111" s="1"/>
      <c r="DJ111" s="1"/>
    </row>
    <row r="112">
      <c r="A112" s="53" t="s">
        <v>152</v>
      </c>
      <c r="C112" s="1"/>
      <c r="D112" s="4"/>
      <c r="E112" s="1"/>
      <c r="F112" s="1"/>
      <c r="G112" s="1"/>
      <c r="H112" s="3">
        <v>1.0</v>
      </c>
      <c r="I112" s="1"/>
      <c r="J112" s="4"/>
      <c r="K112" s="1"/>
      <c r="L112" s="1"/>
      <c r="M112" s="1"/>
      <c r="N112" s="1"/>
      <c r="O112" s="1"/>
      <c r="P112" s="1"/>
      <c r="Q112" s="1"/>
      <c r="R112" s="1"/>
      <c r="T112" s="1"/>
      <c r="U112" s="1"/>
      <c r="V112" s="1"/>
      <c r="W112" s="1"/>
      <c r="X112" s="1"/>
      <c r="Y112" s="1"/>
      <c r="Z112" s="4"/>
      <c r="AA112" s="1"/>
      <c r="AB112" s="1"/>
      <c r="AC112" s="4"/>
      <c r="AE112" s="1"/>
      <c r="AF112" s="4"/>
      <c r="AG112" s="1"/>
      <c r="AH112" s="1"/>
      <c r="AI112" s="4"/>
      <c r="AJ112" s="1"/>
      <c r="AK112" s="1"/>
      <c r="AL112" s="4"/>
      <c r="AM112" s="1"/>
      <c r="AN112" s="1"/>
      <c r="AO112" s="4"/>
      <c r="AP112" s="1"/>
      <c r="AQ112" s="1"/>
      <c r="AR112" s="4"/>
      <c r="AS112" s="1"/>
      <c r="AT112" s="1"/>
      <c r="AU112" s="4"/>
      <c r="AV112" s="1"/>
      <c r="AW112" s="1"/>
      <c r="AX112" s="4"/>
      <c r="AY112" s="1"/>
      <c r="AZ112" s="1"/>
      <c r="BA112" s="1"/>
      <c r="BB112" s="1"/>
      <c r="BC112" s="1"/>
      <c r="BD112" s="5"/>
      <c r="BE112" s="1"/>
      <c r="BF112" s="1"/>
      <c r="BG112" s="4"/>
      <c r="BH112" s="1"/>
      <c r="BI112" s="1"/>
      <c r="BJ112" s="1"/>
      <c r="BK112" s="1"/>
      <c r="BL112" s="1"/>
      <c r="BM112" s="4"/>
      <c r="BN112" s="1"/>
      <c r="BO112" s="1"/>
      <c r="BP112" s="4"/>
      <c r="BQ112" s="1"/>
      <c r="BR112" s="1"/>
      <c r="BS112" s="4"/>
      <c r="BT112" s="15"/>
      <c r="BU112" s="1"/>
      <c r="BV112" s="4"/>
      <c r="BW112" s="1"/>
      <c r="BX112" s="1"/>
      <c r="BY112" s="4"/>
      <c r="BZ112" s="1"/>
      <c r="CA112" s="1"/>
      <c r="CB112" s="4"/>
      <c r="CC112" s="1"/>
      <c r="CD112" s="1"/>
      <c r="CE112" s="4"/>
      <c r="CF112" s="1"/>
      <c r="CG112" s="6">
        <v>1.0</v>
      </c>
      <c r="CK112" s="1"/>
      <c r="CL112" s="15"/>
      <c r="CM112" s="1"/>
      <c r="CN112" s="1"/>
      <c r="CO112" s="1"/>
      <c r="CP112" s="1"/>
      <c r="CQ112" s="4"/>
      <c r="CR112" s="15"/>
      <c r="CS112" s="1"/>
      <c r="CT112" s="4"/>
      <c r="CV112" s="1"/>
      <c r="CW112" s="4"/>
      <c r="DH112" s="1"/>
      <c r="DI112" s="1"/>
      <c r="DJ112" s="1"/>
    </row>
    <row r="113">
      <c r="A113" s="54" t="s">
        <v>153</v>
      </c>
      <c r="B113" s="2">
        <v>8.0</v>
      </c>
      <c r="C113" s="1"/>
      <c r="D113" s="4"/>
      <c r="E113" s="1"/>
      <c r="F113" s="1"/>
      <c r="G113" s="1"/>
      <c r="H113" s="1"/>
      <c r="I113" s="1"/>
      <c r="J113" s="4"/>
      <c r="K113" s="3">
        <v>2.0</v>
      </c>
      <c r="L113" s="1"/>
      <c r="M113" s="1"/>
      <c r="N113" s="3">
        <v>4.0</v>
      </c>
      <c r="O113" s="1"/>
      <c r="P113" s="1"/>
      <c r="Q113" s="3">
        <v>7.0</v>
      </c>
      <c r="R113" s="1"/>
      <c r="T113" s="1"/>
      <c r="U113" s="3">
        <v>1.0</v>
      </c>
      <c r="V113" s="1"/>
      <c r="W113" s="1"/>
      <c r="X113" s="1"/>
      <c r="Y113" s="1"/>
      <c r="Z113" s="4"/>
      <c r="AA113" s="1"/>
      <c r="AB113" s="1"/>
      <c r="AC113" s="4"/>
      <c r="AD113" s="2">
        <v>2.0</v>
      </c>
      <c r="AE113" s="1"/>
      <c r="AF113" s="4"/>
      <c r="AG113" s="1"/>
      <c r="AH113" s="1"/>
      <c r="AI113" s="4"/>
      <c r="AJ113" s="1"/>
      <c r="AK113" s="1"/>
      <c r="AL113" s="4"/>
      <c r="AM113" s="1"/>
      <c r="AN113" s="1"/>
      <c r="AO113" s="4"/>
      <c r="AP113" s="1"/>
      <c r="AQ113" s="1"/>
      <c r="AR113" s="4"/>
      <c r="AS113" s="1"/>
      <c r="AT113" s="1"/>
      <c r="AU113" s="4"/>
      <c r="AV113" s="1"/>
      <c r="AW113" s="1"/>
      <c r="AX113" s="4"/>
      <c r="AY113" s="1"/>
      <c r="AZ113" s="1"/>
      <c r="BA113" s="1"/>
      <c r="BB113" s="1"/>
      <c r="BC113" s="1"/>
      <c r="BD113" s="5"/>
      <c r="BE113" s="1"/>
      <c r="BF113" s="1"/>
      <c r="BG113" s="4"/>
      <c r="BH113" s="1"/>
      <c r="BI113" s="1"/>
      <c r="BJ113" s="1"/>
      <c r="BK113" s="1"/>
      <c r="BL113" s="1"/>
      <c r="BM113" s="4"/>
      <c r="BN113" s="1"/>
      <c r="BO113" s="1"/>
      <c r="BP113" s="4"/>
      <c r="BQ113" s="1"/>
      <c r="BR113" s="1"/>
      <c r="BS113" s="4"/>
      <c r="BT113" s="6">
        <v>3.0</v>
      </c>
      <c r="BU113" s="1"/>
      <c r="BV113" s="4"/>
      <c r="BW113" s="1"/>
      <c r="BX113" s="1"/>
      <c r="BY113" s="4"/>
      <c r="BZ113" s="1"/>
      <c r="CA113" s="1"/>
      <c r="CB113" s="4"/>
      <c r="CC113" s="1"/>
      <c r="CD113" s="1"/>
      <c r="CE113" s="4"/>
      <c r="CF113" s="3">
        <v>1.0</v>
      </c>
      <c r="CG113" s="6">
        <v>1.0</v>
      </c>
      <c r="CH113" s="2">
        <v>1.0</v>
      </c>
      <c r="CK113" s="1"/>
      <c r="CL113" s="15"/>
      <c r="CM113" s="1"/>
      <c r="CN113" s="1"/>
      <c r="CO113" s="1"/>
      <c r="CP113" s="1"/>
      <c r="CQ113" s="4"/>
      <c r="CR113" s="15"/>
      <c r="CS113" s="1"/>
      <c r="CT113" s="4"/>
      <c r="CV113" s="1"/>
      <c r="CW113" s="4"/>
      <c r="DH113" s="1"/>
      <c r="DI113" s="1"/>
      <c r="DJ113" s="1"/>
    </row>
    <row r="114">
      <c r="A114" s="53" t="s">
        <v>154</v>
      </c>
      <c r="B114" s="2">
        <v>5.0</v>
      </c>
      <c r="C114" s="1"/>
      <c r="D114" s="4"/>
      <c r="E114" s="12">
        <v>7.0</v>
      </c>
      <c r="F114" s="7"/>
      <c r="G114" s="7"/>
      <c r="H114" s="12">
        <v>1.0</v>
      </c>
      <c r="I114" s="1"/>
      <c r="J114" s="4"/>
      <c r="K114" s="12">
        <v>5.0</v>
      </c>
      <c r="L114" s="7"/>
      <c r="M114" s="7"/>
      <c r="N114" s="12">
        <v>11.0</v>
      </c>
      <c r="O114" s="7"/>
      <c r="P114" s="7"/>
      <c r="Q114" s="3">
        <v>8.0</v>
      </c>
      <c r="R114" s="1"/>
      <c r="T114" s="1"/>
      <c r="U114" s="12">
        <v>8.0</v>
      </c>
      <c r="V114" s="7"/>
      <c r="W114" s="7"/>
      <c r="X114" s="7"/>
      <c r="Y114" s="1"/>
      <c r="Z114" s="4"/>
      <c r="AA114" s="7"/>
      <c r="AB114" s="1"/>
      <c r="AC114" s="4"/>
      <c r="AD114" s="2">
        <v>4.0</v>
      </c>
      <c r="AE114" s="1"/>
      <c r="AF114" s="4"/>
      <c r="AG114" s="7"/>
      <c r="AH114" s="1"/>
      <c r="AI114" s="4"/>
      <c r="AJ114" s="1"/>
      <c r="AK114" s="1"/>
      <c r="AL114" s="4"/>
      <c r="AM114" s="1"/>
      <c r="AN114" s="1"/>
      <c r="AO114" s="4"/>
      <c r="AP114" s="7">
        <v>16.0</v>
      </c>
      <c r="AQ114" s="1"/>
      <c r="AR114" s="4"/>
      <c r="AS114" s="1"/>
      <c r="AT114" s="1"/>
      <c r="AU114" s="4"/>
      <c r="AV114" s="1"/>
      <c r="AW114" s="1"/>
      <c r="AX114" s="4"/>
      <c r="AY114" s="1"/>
      <c r="AZ114" s="1"/>
      <c r="BA114" s="1"/>
      <c r="BB114" s="1"/>
      <c r="BC114" s="1"/>
      <c r="BD114" s="5"/>
      <c r="BE114" s="1"/>
      <c r="BF114" s="1"/>
      <c r="BG114" s="4"/>
      <c r="BH114" s="1"/>
      <c r="BI114" s="1"/>
      <c r="BJ114" s="1"/>
      <c r="BK114" s="1"/>
      <c r="BL114" s="1"/>
      <c r="BM114" s="4"/>
      <c r="BN114" s="1"/>
      <c r="BO114" s="1"/>
      <c r="BP114" s="4"/>
      <c r="BQ114" s="1"/>
      <c r="BR114" s="1"/>
      <c r="BS114" s="4"/>
      <c r="BT114" s="15"/>
      <c r="BU114" s="1"/>
      <c r="BV114" s="4"/>
      <c r="BW114" s="1"/>
      <c r="BX114" s="1"/>
      <c r="BY114" s="4"/>
      <c r="BZ114" s="1"/>
      <c r="CA114" s="1"/>
      <c r="CB114" s="4"/>
      <c r="CC114" s="1"/>
      <c r="CD114" s="1"/>
      <c r="CE114" s="4"/>
      <c r="CF114" s="3">
        <v>4.0</v>
      </c>
      <c r="CG114" s="15"/>
      <c r="CH114" s="2">
        <v>1.0</v>
      </c>
      <c r="CI114" s="2">
        <v>2.0</v>
      </c>
      <c r="CK114" s="1"/>
      <c r="CL114" s="15"/>
      <c r="CM114" s="1"/>
      <c r="CN114" s="1"/>
      <c r="CO114" s="1"/>
      <c r="CP114" s="1"/>
      <c r="CQ114" s="4"/>
      <c r="CR114" s="15"/>
      <c r="CS114" s="1"/>
      <c r="CT114" s="4"/>
      <c r="CV114" s="1"/>
      <c r="CW114" s="4"/>
      <c r="DH114" s="1"/>
      <c r="DI114" s="1"/>
      <c r="DJ114" s="1"/>
    </row>
    <row r="115">
      <c r="A115" s="53" t="s">
        <v>155</v>
      </c>
      <c r="C115" s="1"/>
      <c r="D115" s="4"/>
      <c r="E115" s="1"/>
      <c r="F115" s="1"/>
      <c r="G115" s="1"/>
      <c r="H115" s="1"/>
      <c r="I115" s="1"/>
      <c r="J115" s="4"/>
      <c r="K115" s="1"/>
      <c r="L115" s="1"/>
      <c r="M115" s="1"/>
      <c r="N115" s="1"/>
      <c r="O115" s="1"/>
      <c r="P115" s="1"/>
      <c r="Q115" s="1"/>
      <c r="R115" s="1"/>
      <c r="T115" s="1"/>
      <c r="U115" s="1"/>
      <c r="V115" s="1"/>
      <c r="W115" s="1"/>
      <c r="X115" s="1"/>
      <c r="Y115" s="1"/>
      <c r="Z115" s="4"/>
      <c r="AA115" s="1"/>
      <c r="AB115" s="1"/>
      <c r="AC115" s="4"/>
      <c r="AE115" s="1"/>
      <c r="AF115" s="4"/>
      <c r="AG115" s="1"/>
      <c r="AH115" s="1"/>
      <c r="AI115" s="4"/>
      <c r="AJ115" s="1"/>
      <c r="AK115" s="1"/>
      <c r="AL115" s="4"/>
      <c r="AM115" s="1"/>
      <c r="AN115" s="1"/>
      <c r="AO115" s="4"/>
      <c r="AP115" s="1"/>
      <c r="AQ115" s="1"/>
      <c r="AR115" s="4"/>
      <c r="AS115" s="1"/>
      <c r="AT115" s="1"/>
      <c r="AU115" s="4"/>
      <c r="AV115" s="1"/>
      <c r="AW115" s="1"/>
      <c r="AX115" s="4"/>
      <c r="AY115" s="1"/>
      <c r="AZ115" s="1"/>
      <c r="BA115" s="1"/>
      <c r="BB115" s="1"/>
      <c r="BC115" s="1"/>
      <c r="BD115" s="5"/>
      <c r="BE115" s="1"/>
      <c r="BF115" s="1"/>
      <c r="BG115" s="4"/>
      <c r="BH115" s="1"/>
      <c r="BI115" s="1"/>
      <c r="BJ115" s="1"/>
      <c r="BK115" s="1"/>
      <c r="BL115" s="1"/>
      <c r="BM115" s="4"/>
      <c r="BN115" s="1"/>
      <c r="BO115" s="1"/>
      <c r="BP115" s="4"/>
      <c r="BQ115" s="1"/>
      <c r="BR115" s="1"/>
      <c r="BS115" s="4"/>
      <c r="BT115" s="15"/>
      <c r="BU115" s="1"/>
      <c r="BV115" s="4"/>
      <c r="BW115" s="1"/>
      <c r="BX115" s="1"/>
      <c r="BY115" s="4"/>
      <c r="BZ115" s="1"/>
      <c r="CA115" s="1"/>
      <c r="CB115" s="4"/>
      <c r="CC115" s="1"/>
      <c r="CD115" s="1"/>
      <c r="CE115" s="4"/>
      <c r="CF115" s="1"/>
      <c r="CG115" s="15"/>
      <c r="CK115" s="1"/>
      <c r="CL115" s="15"/>
      <c r="CM115" s="1"/>
      <c r="CN115" s="1"/>
      <c r="CO115" s="1"/>
      <c r="CP115" s="1"/>
      <c r="CQ115" s="4"/>
      <c r="CR115" s="15"/>
      <c r="CS115" s="1"/>
      <c r="CT115" s="4"/>
      <c r="CV115" s="1"/>
      <c r="CW115" s="4"/>
      <c r="DH115" s="1"/>
      <c r="DI115" s="1"/>
      <c r="DJ115" s="1"/>
    </row>
    <row r="116">
      <c r="A116" s="53" t="s">
        <v>156</v>
      </c>
      <c r="C116" s="1"/>
      <c r="D116" s="4"/>
      <c r="E116" s="1"/>
      <c r="F116" s="1"/>
      <c r="G116" s="1"/>
      <c r="H116" s="1"/>
      <c r="I116" s="1"/>
      <c r="J116" s="4"/>
      <c r="K116" s="1"/>
      <c r="L116" s="1"/>
      <c r="M116" s="1"/>
      <c r="N116" s="1"/>
      <c r="O116" s="1"/>
      <c r="P116" s="1"/>
      <c r="Q116" s="1"/>
      <c r="R116" s="1"/>
      <c r="T116" s="1"/>
      <c r="U116" s="1"/>
      <c r="V116" s="1"/>
      <c r="W116" s="1"/>
      <c r="X116" s="1"/>
      <c r="Y116" s="1"/>
      <c r="Z116" s="4"/>
      <c r="AA116" s="1"/>
      <c r="AB116" s="1"/>
      <c r="AC116" s="4"/>
      <c r="AE116" s="1"/>
      <c r="AF116" s="4"/>
      <c r="AG116" s="1"/>
      <c r="AH116" s="1"/>
      <c r="AI116" s="4"/>
      <c r="AJ116" s="1"/>
      <c r="AK116" s="1"/>
      <c r="AL116" s="4"/>
      <c r="AM116" s="1"/>
      <c r="AN116" s="1"/>
      <c r="AO116" s="4"/>
      <c r="AP116" s="1"/>
      <c r="AQ116" s="1"/>
      <c r="AR116" s="4"/>
      <c r="AS116" s="1"/>
      <c r="AT116" s="1"/>
      <c r="AU116" s="4"/>
      <c r="AV116" s="1"/>
      <c r="AW116" s="1"/>
      <c r="AX116" s="4"/>
      <c r="AY116" s="1"/>
      <c r="AZ116" s="1"/>
      <c r="BA116" s="1"/>
      <c r="BB116" s="1"/>
      <c r="BC116" s="1"/>
      <c r="BD116" s="5"/>
      <c r="BE116" s="1"/>
      <c r="BF116" s="1"/>
      <c r="BG116" s="4"/>
      <c r="BH116" s="1"/>
      <c r="BI116" s="1"/>
      <c r="BJ116" s="1"/>
      <c r="BK116" s="1"/>
      <c r="BL116" s="1"/>
      <c r="BM116" s="4"/>
      <c r="BN116" s="1"/>
      <c r="BO116" s="1"/>
      <c r="BP116" s="4"/>
      <c r="BQ116" s="1"/>
      <c r="BR116" s="1"/>
      <c r="BS116" s="4"/>
      <c r="BT116" s="15"/>
      <c r="BU116" s="1"/>
      <c r="BV116" s="4"/>
      <c r="BW116" s="1"/>
      <c r="BX116" s="1"/>
      <c r="BY116" s="4"/>
      <c r="BZ116" s="1"/>
      <c r="CA116" s="1"/>
      <c r="CB116" s="4"/>
      <c r="CC116" s="1"/>
      <c r="CD116" s="1"/>
      <c r="CE116" s="4"/>
      <c r="CF116" s="1"/>
      <c r="CG116" s="15"/>
      <c r="CK116" s="1"/>
      <c r="CL116" s="15"/>
      <c r="CM116" s="1"/>
      <c r="CN116" s="1"/>
      <c r="CO116" s="1"/>
      <c r="CP116" s="1"/>
      <c r="CQ116" s="4"/>
      <c r="CR116" s="15"/>
      <c r="CS116" s="1"/>
      <c r="CT116" s="4"/>
      <c r="CV116" s="1"/>
      <c r="CW116" s="4"/>
      <c r="DH116" s="1"/>
      <c r="DI116" s="1"/>
      <c r="DJ116" s="1"/>
    </row>
    <row r="117">
      <c r="A117" s="53" t="s">
        <v>157</v>
      </c>
      <c r="C117" s="1"/>
      <c r="D117" s="4"/>
      <c r="E117" s="1"/>
      <c r="F117" s="1"/>
      <c r="G117" s="1"/>
      <c r="H117" s="3">
        <v>1.0</v>
      </c>
      <c r="I117" s="1"/>
      <c r="J117" s="4"/>
      <c r="K117" s="1"/>
      <c r="L117" s="1"/>
      <c r="M117" s="1"/>
      <c r="N117" s="3">
        <v>1.0</v>
      </c>
      <c r="O117" s="1"/>
      <c r="P117" s="1"/>
      <c r="Q117" s="1"/>
      <c r="R117" s="1"/>
      <c r="T117" s="1"/>
      <c r="U117" s="3">
        <v>2.0</v>
      </c>
      <c r="V117" s="1"/>
      <c r="W117" s="1"/>
      <c r="X117" s="1"/>
      <c r="Y117" s="1"/>
      <c r="Z117" s="4"/>
      <c r="AA117" s="1"/>
      <c r="AB117" s="1"/>
      <c r="AC117" s="4"/>
      <c r="AD117" s="2">
        <v>1.0</v>
      </c>
      <c r="AE117" s="1"/>
      <c r="AF117" s="4"/>
      <c r="AG117" s="1"/>
      <c r="AH117" s="1"/>
      <c r="AI117" s="4"/>
      <c r="AJ117" s="1"/>
      <c r="AK117" s="1"/>
      <c r="AL117" s="4"/>
      <c r="AM117" s="1"/>
      <c r="AN117" s="1"/>
      <c r="AO117" s="4"/>
      <c r="AP117" s="1"/>
      <c r="AQ117" s="1"/>
      <c r="AR117" s="4"/>
      <c r="AS117" s="1"/>
      <c r="AT117" s="1"/>
      <c r="AU117" s="4"/>
      <c r="AV117" s="1"/>
      <c r="AW117" s="1"/>
      <c r="AX117" s="4"/>
      <c r="AY117" s="1"/>
      <c r="AZ117" s="1"/>
      <c r="BA117" s="1"/>
      <c r="BB117" s="1"/>
      <c r="BC117" s="1"/>
      <c r="BD117" s="5"/>
      <c r="BE117" s="1"/>
      <c r="BF117" s="1"/>
      <c r="BG117" s="4"/>
      <c r="BH117" s="3">
        <v>3.0</v>
      </c>
      <c r="BI117" s="1"/>
      <c r="BJ117" s="1"/>
      <c r="BK117" s="1"/>
      <c r="BL117" s="1"/>
      <c r="BM117" s="4"/>
      <c r="BN117" s="1"/>
      <c r="BO117" s="1"/>
      <c r="BP117" s="4"/>
      <c r="BQ117" s="1"/>
      <c r="BR117" s="1"/>
      <c r="BS117" s="4"/>
      <c r="BT117" s="15"/>
      <c r="BU117" s="1"/>
      <c r="BV117" s="4"/>
      <c r="BW117" s="1"/>
      <c r="BX117" s="1"/>
      <c r="BY117" s="4"/>
      <c r="BZ117" s="1"/>
      <c r="CA117" s="1"/>
      <c r="CB117" s="4"/>
      <c r="CC117" s="1"/>
      <c r="CD117" s="1"/>
      <c r="CE117" s="4"/>
      <c r="CF117" s="1"/>
      <c r="CG117" s="15"/>
      <c r="CK117" s="1"/>
      <c r="CL117" s="6">
        <v>1.0</v>
      </c>
      <c r="CM117" s="1"/>
      <c r="CN117" s="1"/>
      <c r="CO117" s="1"/>
      <c r="CP117" s="1"/>
      <c r="CQ117" s="4"/>
      <c r="CR117" s="15"/>
      <c r="CS117" s="1"/>
      <c r="CT117" s="4"/>
      <c r="CV117" s="1"/>
      <c r="CW117" s="4"/>
      <c r="DH117" s="1"/>
      <c r="DI117" s="1"/>
      <c r="DJ117" s="1"/>
    </row>
    <row r="118">
      <c r="A118" s="53" t="s">
        <v>158</v>
      </c>
      <c r="C118" s="1"/>
      <c r="D118" s="4"/>
      <c r="E118" s="1"/>
      <c r="F118" s="1"/>
      <c r="G118" s="1"/>
      <c r="H118" s="1"/>
      <c r="I118" s="1"/>
      <c r="J118" s="4"/>
      <c r="K118" s="1"/>
      <c r="L118" s="1"/>
      <c r="M118" s="1"/>
      <c r="N118" s="1"/>
      <c r="O118" s="1"/>
      <c r="P118" s="1"/>
      <c r="Q118" s="1"/>
      <c r="R118" s="1"/>
      <c r="T118" s="1"/>
      <c r="U118" s="1"/>
      <c r="V118" s="1"/>
      <c r="W118" s="1"/>
      <c r="X118" s="1"/>
      <c r="Y118" s="1"/>
      <c r="Z118" s="4"/>
      <c r="AA118" s="1"/>
      <c r="AB118" s="1"/>
      <c r="AC118" s="4"/>
      <c r="AE118" s="1"/>
      <c r="AF118" s="4"/>
      <c r="AG118" s="1"/>
      <c r="AH118" s="1"/>
      <c r="AI118" s="4"/>
      <c r="AJ118" s="1"/>
      <c r="AM118" s="1"/>
      <c r="AP118" s="1"/>
      <c r="AQ118" s="1"/>
      <c r="AR118" s="4"/>
      <c r="AS118" s="1"/>
      <c r="AT118" s="1"/>
      <c r="AU118" s="4"/>
      <c r="AV118" s="1"/>
      <c r="AW118" s="1"/>
      <c r="AX118" s="4"/>
      <c r="AY118" s="1"/>
      <c r="AZ118" s="1"/>
      <c r="BA118" s="1"/>
      <c r="BB118" s="1"/>
      <c r="BC118" s="1"/>
      <c r="BD118" s="5"/>
      <c r="BE118" s="1"/>
      <c r="BF118" s="1"/>
      <c r="BG118" s="4"/>
      <c r="BH118" s="1"/>
      <c r="BI118" s="1"/>
      <c r="BJ118" s="1"/>
      <c r="BK118" s="1"/>
      <c r="BL118" s="1"/>
      <c r="BM118" s="4"/>
      <c r="BN118" s="1"/>
      <c r="BO118" s="1"/>
      <c r="BP118" s="4"/>
      <c r="BQ118" s="1"/>
      <c r="BR118" s="1"/>
      <c r="BS118" s="4"/>
      <c r="BT118" s="15"/>
      <c r="BU118" s="1"/>
      <c r="BV118" s="4"/>
      <c r="BW118" s="1"/>
      <c r="BX118" s="1"/>
      <c r="BY118" s="4"/>
      <c r="BZ118" s="1"/>
      <c r="CA118" s="1"/>
      <c r="CB118" s="4"/>
      <c r="CC118" s="1"/>
      <c r="CD118" s="1"/>
      <c r="CE118" s="4"/>
      <c r="CF118" s="1"/>
      <c r="CG118" s="15"/>
      <c r="CK118" s="1"/>
      <c r="CL118" s="15"/>
      <c r="CM118" s="1"/>
      <c r="CN118" s="1"/>
      <c r="CO118" s="1"/>
      <c r="CP118" s="1"/>
      <c r="CQ118" s="4"/>
      <c r="CR118" s="15"/>
      <c r="CS118" s="1"/>
      <c r="CT118" s="4"/>
      <c r="DH118" s="1"/>
      <c r="DI118" s="1"/>
      <c r="DJ118" s="1"/>
    </row>
    <row r="119">
      <c r="A119" s="53" t="s">
        <v>159</v>
      </c>
      <c r="C119" s="1"/>
      <c r="D119" s="4"/>
      <c r="E119" s="1"/>
      <c r="F119" s="1"/>
      <c r="G119" s="1"/>
      <c r="H119" s="1"/>
      <c r="I119" s="1"/>
      <c r="J119" s="4"/>
      <c r="K119" s="1"/>
      <c r="L119" s="1"/>
      <c r="M119" s="1"/>
      <c r="N119" s="1"/>
      <c r="O119" s="1"/>
      <c r="P119" s="1"/>
      <c r="Q119" s="1"/>
      <c r="R119" s="1"/>
      <c r="T119" s="1"/>
      <c r="U119" s="1"/>
      <c r="V119" s="1"/>
      <c r="W119" s="1"/>
      <c r="X119" s="1"/>
      <c r="Y119" s="1"/>
      <c r="Z119" s="4"/>
      <c r="AA119" s="1"/>
      <c r="AB119" s="1"/>
      <c r="AC119" s="4"/>
      <c r="AE119" s="1"/>
      <c r="AF119" s="4"/>
      <c r="AG119" s="1"/>
      <c r="AH119" s="1"/>
      <c r="AI119" s="4"/>
      <c r="AJ119" s="1"/>
      <c r="AM119" s="1"/>
      <c r="AP119" s="1"/>
      <c r="AQ119" s="1"/>
      <c r="AR119" s="4"/>
      <c r="AS119" s="1"/>
      <c r="AT119" s="1"/>
      <c r="AU119" s="4"/>
      <c r="AV119" s="1"/>
      <c r="AW119" s="1"/>
      <c r="AX119" s="4"/>
      <c r="AY119" s="1"/>
      <c r="AZ119" s="1"/>
      <c r="BA119" s="1"/>
      <c r="BB119" s="1"/>
      <c r="BC119" s="1"/>
      <c r="BD119" s="5"/>
      <c r="BE119" s="1"/>
      <c r="BF119" s="1"/>
      <c r="BG119" s="4"/>
      <c r="BH119" s="1"/>
      <c r="BI119" s="1"/>
      <c r="BJ119" s="1"/>
      <c r="BK119" s="1"/>
      <c r="BL119" s="1"/>
      <c r="BM119" s="4"/>
      <c r="BN119" s="1"/>
      <c r="BO119" s="1"/>
      <c r="BP119" s="4"/>
      <c r="BQ119" s="1"/>
      <c r="BR119" s="1"/>
      <c r="BS119" s="4"/>
      <c r="BT119" s="15"/>
      <c r="BU119" s="1"/>
      <c r="BV119" s="4"/>
      <c r="BW119" s="1"/>
      <c r="BX119" s="1"/>
      <c r="BY119" s="4"/>
      <c r="BZ119" s="1"/>
      <c r="CA119" s="1"/>
      <c r="CB119" s="4"/>
      <c r="CC119" s="1"/>
      <c r="CD119" s="1"/>
      <c r="CE119" s="4"/>
      <c r="CF119" s="1"/>
      <c r="CG119" s="15"/>
      <c r="CK119" s="1"/>
      <c r="CL119" s="15"/>
      <c r="CM119" s="1"/>
      <c r="CN119" s="1"/>
      <c r="CO119" s="1"/>
      <c r="CP119" s="1"/>
      <c r="CQ119" s="4"/>
      <c r="CR119" s="15"/>
      <c r="CS119" s="1"/>
      <c r="CT119" s="4"/>
      <c r="DH119" s="1"/>
      <c r="DI119" s="1"/>
      <c r="DJ119" s="1"/>
    </row>
    <row r="120">
      <c r="A120" s="53" t="s">
        <v>160</v>
      </c>
      <c r="C120" s="1"/>
      <c r="D120" s="4"/>
      <c r="E120" s="1"/>
      <c r="F120" s="1"/>
      <c r="G120" s="1"/>
      <c r="H120" s="1"/>
      <c r="I120" s="1"/>
      <c r="J120" s="4"/>
      <c r="K120" s="1"/>
      <c r="L120" s="1"/>
      <c r="M120" s="1"/>
      <c r="N120" s="1"/>
      <c r="O120" s="1"/>
      <c r="P120" s="1"/>
      <c r="Q120" s="1"/>
      <c r="R120" s="1"/>
      <c r="T120" s="1"/>
      <c r="U120" s="1"/>
      <c r="V120" s="1"/>
      <c r="W120" s="1"/>
      <c r="X120" s="1"/>
      <c r="Y120" s="1"/>
      <c r="Z120" s="4"/>
      <c r="AA120" s="1"/>
      <c r="AB120" s="1"/>
      <c r="AC120" s="4"/>
      <c r="AE120" s="1"/>
      <c r="AF120" s="4"/>
      <c r="AG120" s="1"/>
      <c r="AH120" s="1"/>
      <c r="AI120" s="4"/>
      <c r="AJ120" s="1"/>
      <c r="AM120" s="1"/>
      <c r="AP120" s="1"/>
      <c r="AQ120" s="1"/>
      <c r="AR120" s="4"/>
      <c r="AS120" s="1"/>
      <c r="AT120" s="1"/>
      <c r="AU120" s="4"/>
      <c r="AV120" s="1"/>
      <c r="AW120" s="1"/>
      <c r="AX120" s="4"/>
      <c r="AY120" s="1"/>
      <c r="AZ120" s="1"/>
      <c r="BA120" s="1"/>
      <c r="BB120" s="1"/>
      <c r="BC120" s="1"/>
      <c r="BD120" s="5"/>
      <c r="BE120" s="1"/>
      <c r="BF120" s="1"/>
      <c r="BG120" s="4"/>
      <c r="BH120" s="1"/>
      <c r="BI120" s="1"/>
      <c r="BJ120" s="1"/>
      <c r="BK120" s="1"/>
      <c r="BL120" s="1"/>
      <c r="BM120" s="4"/>
      <c r="BN120" s="1"/>
      <c r="BO120" s="1"/>
      <c r="BP120" s="4"/>
      <c r="BQ120" s="1"/>
      <c r="BR120" s="1"/>
      <c r="BS120" s="4"/>
      <c r="BT120" s="15"/>
      <c r="BU120" s="1"/>
      <c r="BV120" s="4"/>
      <c r="BW120" s="1"/>
      <c r="BX120" s="1"/>
      <c r="BY120" s="4"/>
      <c r="BZ120" s="1"/>
      <c r="CA120" s="1"/>
      <c r="CB120" s="4"/>
      <c r="CC120" s="1"/>
      <c r="CD120" s="1"/>
      <c r="CE120" s="4"/>
      <c r="CF120" s="1"/>
      <c r="CG120" s="15"/>
      <c r="CK120" s="1"/>
      <c r="CL120" s="15"/>
      <c r="CM120" s="1"/>
      <c r="CN120" s="1"/>
      <c r="CO120" s="1"/>
      <c r="CP120" s="1"/>
      <c r="CQ120" s="4"/>
      <c r="CR120" s="15"/>
      <c r="CS120" s="1"/>
      <c r="CT120" s="4"/>
      <c r="DH120" s="1"/>
      <c r="DI120" s="1"/>
      <c r="DJ120" s="1"/>
    </row>
    <row r="121">
      <c r="A121" s="53" t="s">
        <v>161</v>
      </c>
      <c r="C121" s="1"/>
      <c r="D121" s="4"/>
      <c r="E121" s="1"/>
      <c r="F121" s="1"/>
      <c r="G121" s="1"/>
      <c r="H121" s="1"/>
      <c r="I121" s="1"/>
      <c r="J121" s="4"/>
      <c r="K121" s="1"/>
      <c r="L121" s="1"/>
      <c r="M121" s="1"/>
      <c r="N121" s="1"/>
      <c r="O121" s="1"/>
      <c r="P121" s="1"/>
      <c r="Q121" s="1"/>
      <c r="R121" s="1"/>
      <c r="T121" s="1"/>
      <c r="U121" s="1"/>
      <c r="V121" s="1"/>
      <c r="W121" s="1"/>
      <c r="X121" s="1"/>
      <c r="Y121" s="1"/>
      <c r="Z121" s="4"/>
      <c r="AA121" s="1"/>
      <c r="AB121" s="1"/>
      <c r="AC121" s="4"/>
      <c r="AE121" s="1"/>
      <c r="AF121" s="4"/>
      <c r="AG121" s="1"/>
      <c r="AH121" s="1"/>
      <c r="AI121" s="4"/>
      <c r="AJ121" s="1"/>
      <c r="AM121" s="1"/>
      <c r="AP121" s="1"/>
      <c r="AQ121" s="1"/>
      <c r="AR121" s="4"/>
      <c r="AS121" s="1"/>
      <c r="AT121" s="1"/>
      <c r="AU121" s="4"/>
      <c r="AV121" s="1"/>
      <c r="AW121" s="1"/>
      <c r="AX121" s="4"/>
      <c r="AY121" s="1"/>
      <c r="AZ121" s="1"/>
      <c r="BA121" s="1"/>
      <c r="BB121" s="1"/>
      <c r="BC121" s="1"/>
      <c r="BD121" s="5"/>
      <c r="BE121" s="1"/>
      <c r="BF121" s="1"/>
      <c r="BG121" s="4"/>
      <c r="BH121" s="1"/>
      <c r="BI121" s="1"/>
      <c r="BJ121" s="1"/>
      <c r="BK121" s="1"/>
      <c r="BL121" s="1"/>
      <c r="BM121" s="4"/>
      <c r="BN121" s="1"/>
      <c r="BO121" s="1"/>
      <c r="BP121" s="4"/>
      <c r="BQ121" s="1"/>
      <c r="BR121" s="1"/>
      <c r="BS121" s="4"/>
      <c r="BT121" s="15"/>
      <c r="BU121" s="1"/>
      <c r="BV121" s="4"/>
      <c r="BW121" s="1"/>
      <c r="BX121" s="1"/>
      <c r="BY121" s="4"/>
      <c r="BZ121" s="1"/>
      <c r="CA121" s="1"/>
      <c r="CB121" s="4"/>
      <c r="CC121" s="1"/>
      <c r="CD121" s="1"/>
      <c r="CE121" s="4"/>
      <c r="CF121" s="1"/>
      <c r="CG121" s="15"/>
      <c r="CK121" s="1"/>
      <c r="CL121" s="15"/>
      <c r="CM121" s="1"/>
      <c r="CN121" s="1"/>
      <c r="CO121" s="1"/>
      <c r="CP121" s="1"/>
      <c r="CQ121" s="4"/>
      <c r="CR121" s="15"/>
      <c r="CS121" s="1"/>
      <c r="CT121" s="4"/>
      <c r="DH121" s="1"/>
      <c r="DI121" s="1"/>
      <c r="DJ121" s="1"/>
    </row>
    <row r="122">
      <c r="A122" s="53" t="s">
        <v>162</v>
      </c>
      <c r="C122" s="1"/>
      <c r="D122" s="4"/>
      <c r="E122" s="1"/>
      <c r="F122" s="1"/>
      <c r="G122" s="1"/>
      <c r="H122" s="1"/>
      <c r="I122" s="1"/>
      <c r="J122" s="4"/>
      <c r="K122" s="1"/>
      <c r="L122" s="1"/>
      <c r="M122" s="1"/>
      <c r="N122" s="1"/>
      <c r="O122" s="1"/>
      <c r="P122" s="1"/>
      <c r="Q122" s="1"/>
      <c r="R122" s="1"/>
      <c r="T122" s="1"/>
      <c r="U122" s="1"/>
      <c r="V122" s="1"/>
      <c r="W122" s="1"/>
      <c r="X122" s="1"/>
      <c r="Y122" s="1"/>
      <c r="Z122" s="4"/>
      <c r="AA122" s="1"/>
      <c r="AB122" s="1"/>
      <c r="AC122" s="4"/>
      <c r="AE122" s="1"/>
      <c r="AF122" s="4"/>
      <c r="AG122" s="1"/>
      <c r="AH122" s="1"/>
      <c r="AI122" s="4"/>
      <c r="AJ122" s="1"/>
      <c r="AM122" s="1"/>
      <c r="AP122" s="1"/>
      <c r="AQ122" s="1"/>
      <c r="AR122" s="4"/>
      <c r="AS122" s="1"/>
      <c r="AT122" s="1"/>
      <c r="AU122" s="4"/>
      <c r="AV122" s="1"/>
      <c r="AW122" s="1"/>
      <c r="AX122" s="4"/>
      <c r="AY122" s="1"/>
      <c r="AZ122" s="1"/>
      <c r="BA122" s="1"/>
      <c r="BB122" s="1"/>
      <c r="BC122" s="1"/>
      <c r="BD122" s="5"/>
      <c r="BE122" s="1"/>
      <c r="BF122" s="1"/>
      <c r="BG122" s="4"/>
      <c r="BH122" s="1"/>
      <c r="BI122" s="1"/>
      <c r="BJ122" s="1"/>
      <c r="BK122" s="1"/>
      <c r="BL122" s="1"/>
      <c r="BM122" s="4"/>
      <c r="BN122" s="1"/>
      <c r="BO122" s="1"/>
      <c r="BP122" s="4"/>
      <c r="BQ122" s="1"/>
      <c r="BR122" s="1"/>
      <c r="BS122" s="4"/>
      <c r="BT122" s="15"/>
      <c r="BU122" s="1"/>
      <c r="BV122" s="4"/>
      <c r="BW122" s="1"/>
      <c r="BX122" s="1"/>
      <c r="BY122" s="4"/>
      <c r="BZ122" s="1"/>
      <c r="CA122" s="1"/>
      <c r="CB122" s="4"/>
      <c r="CC122" s="1"/>
      <c r="CD122" s="1"/>
      <c r="CE122" s="4"/>
      <c r="CF122" s="1"/>
      <c r="CG122" s="15"/>
      <c r="CK122" s="1"/>
      <c r="CL122" s="15"/>
      <c r="CM122" s="1"/>
      <c r="CN122" s="1"/>
      <c r="CO122" s="1"/>
      <c r="CP122" s="1"/>
      <c r="CQ122" s="4"/>
      <c r="CR122" s="15"/>
      <c r="CS122" s="1"/>
      <c r="CT122" s="4"/>
      <c r="DH122" s="1"/>
      <c r="DI122" s="1"/>
      <c r="DJ122" s="1"/>
    </row>
    <row r="123">
      <c r="A123" s="53" t="s">
        <v>163</v>
      </c>
      <c r="C123" s="1"/>
      <c r="D123" s="4"/>
      <c r="E123" s="3">
        <v>1.0</v>
      </c>
      <c r="F123" s="1"/>
      <c r="G123" s="1"/>
      <c r="H123" s="1"/>
      <c r="I123" s="1"/>
      <c r="J123" s="4"/>
      <c r="K123" s="1"/>
      <c r="L123" s="1"/>
      <c r="M123" s="1"/>
      <c r="N123" s="3">
        <v>1.0</v>
      </c>
      <c r="O123" s="1"/>
      <c r="P123" s="1"/>
      <c r="Q123" s="1"/>
      <c r="R123" s="1"/>
      <c r="T123" s="1"/>
      <c r="U123" s="1"/>
      <c r="V123" s="1"/>
      <c r="W123" s="1"/>
      <c r="X123" s="1"/>
      <c r="Y123" s="1"/>
      <c r="Z123" s="4"/>
      <c r="AA123" s="1"/>
      <c r="AB123" s="1"/>
      <c r="AC123" s="4"/>
      <c r="AE123" s="1"/>
      <c r="AF123" s="4"/>
      <c r="AG123" s="1"/>
      <c r="AH123" s="1"/>
      <c r="AI123" s="4"/>
      <c r="AJ123" s="1"/>
      <c r="AM123" s="1"/>
      <c r="AP123" s="1"/>
      <c r="AQ123" s="1"/>
      <c r="AR123" s="4"/>
      <c r="AS123" s="1"/>
      <c r="AT123" s="1"/>
      <c r="AU123" s="4"/>
      <c r="AV123" s="1"/>
      <c r="AW123" s="1"/>
      <c r="AX123" s="4"/>
      <c r="AY123" s="1"/>
      <c r="AZ123" s="1"/>
      <c r="BA123" s="1"/>
      <c r="BB123" s="1"/>
      <c r="BC123" s="1"/>
      <c r="BD123" s="5"/>
      <c r="BE123" s="1"/>
      <c r="BF123" s="1"/>
      <c r="BG123" s="4"/>
      <c r="BH123" s="1"/>
      <c r="BI123" s="1"/>
      <c r="BJ123" s="1"/>
      <c r="BK123" s="1"/>
      <c r="BL123" s="1"/>
      <c r="BM123" s="4"/>
      <c r="BN123" s="1"/>
      <c r="BO123" s="1"/>
      <c r="BP123" s="4"/>
      <c r="BQ123" s="1"/>
      <c r="BR123" s="1"/>
      <c r="BS123" s="4"/>
      <c r="BT123" s="15"/>
      <c r="BU123" s="1"/>
      <c r="BV123" s="4"/>
      <c r="BW123" s="1"/>
      <c r="BX123" s="1"/>
      <c r="BY123" s="4"/>
      <c r="BZ123" s="1"/>
      <c r="CA123" s="1"/>
      <c r="CB123" s="4"/>
      <c r="CC123" s="1"/>
      <c r="CD123" s="1"/>
      <c r="CE123" s="4"/>
      <c r="CF123" s="1"/>
      <c r="CG123" s="15"/>
      <c r="CI123" s="2">
        <v>1.0</v>
      </c>
      <c r="CK123" s="1"/>
      <c r="CL123" s="15"/>
      <c r="CM123" s="1"/>
      <c r="CN123" s="1"/>
      <c r="CO123" s="1"/>
      <c r="CP123" s="1"/>
      <c r="CQ123" s="4"/>
      <c r="CR123" s="15"/>
      <c r="CS123" s="1"/>
      <c r="CT123" s="4"/>
      <c r="DH123" s="1"/>
      <c r="DI123" s="1"/>
      <c r="DJ123" s="1"/>
    </row>
    <row r="124">
      <c r="A124" s="53" t="s">
        <v>164</v>
      </c>
      <c r="C124" s="1"/>
      <c r="D124" s="4"/>
      <c r="E124" s="1"/>
      <c r="F124" s="1"/>
      <c r="G124" s="1"/>
      <c r="H124" s="1"/>
      <c r="I124" s="1"/>
      <c r="J124" s="4"/>
      <c r="K124" s="1"/>
      <c r="L124" s="1"/>
      <c r="M124" s="1"/>
      <c r="N124" s="1"/>
      <c r="O124" s="1"/>
      <c r="P124" s="1"/>
      <c r="Q124" s="1"/>
      <c r="R124" s="1"/>
      <c r="T124" s="1"/>
      <c r="U124" s="1"/>
      <c r="V124" s="1"/>
      <c r="W124" s="1"/>
      <c r="X124" s="1"/>
      <c r="Y124" s="1"/>
      <c r="Z124" s="4"/>
      <c r="AA124" s="1"/>
      <c r="AB124" s="1"/>
      <c r="AC124" s="4"/>
      <c r="AE124" s="1"/>
      <c r="AF124" s="4"/>
      <c r="AG124" s="1"/>
      <c r="AH124" s="1"/>
      <c r="AI124" s="4"/>
      <c r="AJ124" s="1"/>
      <c r="AM124" s="1"/>
      <c r="AP124" s="1"/>
      <c r="AQ124" s="1"/>
      <c r="AR124" s="4"/>
      <c r="AS124" s="1"/>
      <c r="AT124" s="1"/>
      <c r="AU124" s="4"/>
      <c r="AV124" s="1"/>
      <c r="AW124" s="1"/>
      <c r="AX124" s="4"/>
      <c r="AY124" s="1"/>
      <c r="AZ124" s="1"/>
      <c r="BA124" s="1"/>
      <c r="BB124" s="1"/>
      <c r="BC124" s="1"/>
      <c r="BD124" s="5"/>
      <c r="BE124" s="1"/>
      <c r="BF124" s="1"/>
      <c r="BG124" s="4"/>
      <c r="BH124" s="1"/>
      <c r="BI124" s="1"/>
      <c r="BJ124" s="1"/>
      <c r="BK124" s="1"/>
      <c r="BL124" s="1"/>
      <c r="BM124" s="4"/>
      <c r="BN124" s="1"/>
      <c r="BO124" s="1"/>
      <c r="BP124" s="4"/>
      <c r="BQ124" s="1"/>
      <c r="BR124" s="1"/>
      <c r="BS124" s="4"/>
      <c r="BT124" s="15"/>
      <c r="BU124" s="1"/>
      <c r="BV124" s="4"/>
      <c r="BW124" s="1"/>
      <c r="BX124" s="1"/>
      <c r="BY124" s="4"/>
      <c r="BZ124" s="1"/>
      <c r="CA124" s="1"/>
      <c r="CB124" s="4"/>
      <c r="CC124" s="1"/>
      <c r="CD124" s="1"/>
      <c r="CE124" s="4"/>
      <c r="CF124" s="1"/>
      <c r="CG124" s="15"/>
      <c r="CK124" s="1"/>
      <c r="CL124" s="15"/>
      <c r="CM124" s="1"/>
      <c r="CN124" s="1"/>
      <c r="CO124" s="1"/>
      <c r="CP124" s="1"/>
      <c r="CQ124" s="4"/>
      <c r="CR124" s="15"/>
      <c r="CS124" s="1"/>
      <c r="CT124" s="4"/>
      <c r="DH124" s="1"/>
      <c r="DI124" s="1"/>
      <c r="DJ124" s="1"/>
    </row>
    <row r="125">
      <c r="A125" s="53" t="s">
        <v>165</v>
      </c>
      <c r="C125" s="1"/>
      <c r="D125" s="4"/>
      <c r="E125" s="1"/>
      <c r="F125" s="1"/>
      <c r="G125" s="1"/>
      <c r="H125" s="1"/>
      <c r="I125" s="1"/>
      <c r="J125" s="4"/>
      <c r="K125" s="1"/>
      <c r="L125" s="1"/>
      <c r="M125" s="1"/>
      <c r="N125" s="1"/>
      <c r="O125" s="1"/>
      <c r="P125" s="1"/>
      <c r="Q125" s="1"/>
      <c r="R125" s="1"/>
      <c r="T125" s="1"/>
      <c r="U125" s="1"/>
      <c r="V125" s="1"/>
      <c r="W125" s="1"/>
      <c r="X125" s="1"/>
      <c r="Y125" s="1"/>
      <c r="Z125" s="4"/>
      <c r="AA125" s="1"/>
      <c r="AB125" s="1"/>
      <c r="AC125" s="4"/>
      <c r="AE125" s="1"/>
      <c r="AF125" s="4"/>
      <c r="AG125" s="1"/>
      <c r="AH125" s="1"/>
      <c r="AI125" s="4"/>
      <c r="AJ125" s="1"/>
      <c r="AM125" s="1"/>
      <c r="AP125" s="1"/>
      <c r="AQ125" s="1"/>
      <c r="AR125" s="4"/>
      <c r="AS125" s="1"/>
      <c r="AT125" s="1"/>
      <c r="AU125" s="4"/>
      <c r="AV125" s="1"/>
      <c r="AW125" s="1"/>
      <c r="AX125" s="4"/>
      <c r="AY125" s="1"/>
      <c r="AZ125" s="1"/>
      <c r="BA125" s="1"/>
      <c r="BB125" s="1"/>
      <c r="BC125" s="1"/>
      <c r="BD125" s="5"/>
      <c r="BE125" s="1"/>
      <c r="BF125" s="1"/>
      <c r="BG125" s="4"/>
      <c r="BH125" s="1"/>
      <c r="BI125" s="1"/>
      <c r="BJ125" s="1"/>
      <c r="BK125" s="1"/>
      <c r="BL125" s="1"/>
      <c r="BM125" s="4"/>
      <c r="BN125" s="1"/>
      <c r="BO125" s="1"/>
      <c r="BP125" s="4"/>
      <c r="BQ125" s="1"/>
      <c r="BR125" s="1"/>
      <c r="BS125" s="4"/>
      <c r="BT125" s="15"/>
      <c r="BU125" s="1"/>
      <c r="BV125" s="4"/>
      <c r="BW125" s="1"/>
      <c r="BX125" s="1"/>
      <c r="BY125" s="4"/>
      <c r="BZ125" s="1"/>
      <c r="CA125" s="1"/>
      <c r="CB125" s="4"/>
      <c r="CC125" s="1"/>
      <c r="CD125" s="1"/>
      <c r="CE125" s="4"/>
      <c r="CF125" s="1"/>
      <c r="CG125" s="15"/>
      <c r="CK125" s="1"/>
      <c r="CL125" s="15"/>
      <c r="CM125" s="1"/>
      <c r="CN125" s="1"/>
      <c r="CO125" s="1"/>
      <c r="CP125" s="1"/>
      <c r="CQ125" s="4"/>
      <c r="CR125" s="15"/>
      <c r="CS125" s="1"/>
      <c r="CT125" s="4"/>
      <c r="DH125" s="1"/>
      <c r="DI125" s="1"/>
      <c r="DJ125" s="1"/>
    </row>
    <row r="126">
      <c r="A126" s="53" t="s">
        <v>166</v>
      </c>
      <c r="C126" s="1"/>
      <c r="D126" s="4"/>
      <c r="E126" s="1"/>
      <c r="F126" s="1"/>
      <c r="G126" s="1"/>
      <c r="H126" s="1"/>
      <c r="I126" s="1"/>
      <c r="J126" s="4"/>
      <c r="K126" s="1"/>
      <c r="L126" s="1"/>
      <c r="M126" s="1"/>
      <c r="N126" s="1"/>
      <c r="O126" s="1"/>
      <c r="P126" s="1"/>
      <c r="Q126" s="1"/>
      <c r="R126" s="1"/>
      <c r="T126" s="1"/>
      <c r="U126" s="1"/>
      <c r="V126" s="1"/>
      <c r="W126" s="1"/>
      <c r="X126" s="1"/>
      <c r="Y126" s="1"/>
      <c r="Z126" s="4"/>
      <c r="AA126" s="1"/>
      <c r="AB126" s="1"/>
      <c r="AC126" s="4"/>
      <c r="AE126" s="1"/>
      <c r="AF126" s="4"/>
      <c r="AG126" s="1"/>
      <c r="AH126" s="1"/>
      <c r="AI126" s="4"/>
      <c r="AJ126" s="1"/>
      <c r="AM126" s="1"/>
      <c r="AP126" s="1"/>
      <c r="AQ126" s="1"/>
      <c r="AR126" s="4"/>
      <c r="AS126" s="1"/>
      <c r="AT126" s="1"/>
      <c r="AU126" s="4"/>
      <c r="AV126" s="1"/>
      <c r="AW126" s="1"/>
      <c r="AX126" s="4"/>
      <c r="AY126" s="1"/>
      <c r="AZ126" s="1"/>
      <c r="BA126" s="1"/>
      <c r="BB126" s="1"/>
      <c r="BC126" s="1"/>
      <c r="BD126" s="5"/>
      <c r="BE126" s="1"/>
      <c r="BF126" s="1"/>
      <c r="BG126" s="4"/>
      <c r="BH126" s="1"/>
      <c r="BI126" s="1"/>
      <c r="BJ126" s="1"/>
      <c r="BK126" s="1"/>
      <c r="BL126" s="1"/>
      <c r="BM126" s="4"/>
      <c r="BN126" s="1"/>
      <c r="BO126" s="1"/>
      <c r="BP126" s="4"/>
      <c r="BQ126" s="1"/>
      <c r="BR126" s="1"/>
      <c r="BS126" s="4"/>
      <c r="BT126" s="15"/>
      <c r="BU126" s="1"/>
      <c r="BV126" s="4"/>
      <c r="BW126" s="1"/>
      <c r="BX126" s="1"/>
      <c r="BY126" s="4"/>
      <c r="BZ126" s="1"/>
      <c r="CA126" s="1"/>
      <c r="CB126" s="4"/>
      <c r="CC126" s="1"/>
      <c r="CD126" s="1"/>
      <c r="CE126" s="4"/>
      <c r="CF126" s="1"/>
      <c r="CG126" s="15"/>
      <c r="CK126" s="1"/>
      <c r="CL126" s="15"/>
      <c r="CM126" s="1"/>
      <c r="CN126" s="1"/>
      <c r="CO126" s="1"/>
      <c r="CP126" s="1"/>
      <c r="CQ126" s="4"/>
      <c r="CR126" s="15"/>
      <c r="CS126" s="1"/>
      <c r="CT126" s="4"/>
      <c r="DH126" s="1"/>
      <c r="DI126" s="1"/>
      <c r="DJ126" s="1"/>
    </row>
    <row r="127">
      <c r="A127" s="1" t="s">
        <v>167</v>
      </c>
      <c r="C127" s="1"/>
      <c r="D127" s="4"/>
      <c r="E127" s="1"/>
      <c r="F127" s="1"/>
      <c r="G127" s="1"/>
      <c r="H127" s="1"/>
      <c r="I127" s="1"/>
      <c r="J127" s="4"/>
      <c r="K127" s="1"/>
      <c r="L127" s="1"/>
      <c r="M127" s="1"/>
      <c r="N127" s="1"/>
      <c r="O127" s="1"/>
      <c r="P127" s="1"/>
      <c r="Q127" s="1"/>
      <c r="R127" s="1"/>
      <c r="T127" s="1"/>
      <c r="U127" s="1"/>
      <c r="V127" s="1"/>
      <c r="W127" s="1"/>
      <c r="X127" s="1"/>
      <c r="Y127" s="1"/>
      <c r="Z127" s="4"/>
      <c r="AA127" s="1"/>
      <c r="AB127" s="1"/>
      <c r="AC127" s="4"/>
      <c r="AE127" s="1"/>
      <c r="AF127" s="4"/>
      <c r="AG127" s="1"/>
      <c r="AH127" s="1"/>
      <c r="AI127" s="4"/>
      <c r="AJ127" s="1"/>
      <c r="AM127" s="1"/>
      <c r="AP127" s="1"/>
      <c r="AQ127" s="1"/>
      <c r="AR127" s="4"/>
      <c r="AS127" s="1"/>
      <c r="AT127" s="1"/>
      <c r="AU127" s="4"/>
      <c r="AV127" s="1"/>
      <c r="AW127" s="1"/>
      <c r="AX127" s="4"/>
      <c r="AY127" s="1"/>
      <c r="AZ127" s="1"/>
      <c r="BA127" s="1"/>
      <c r="BB127" s="1"/>
      <c r="BC127" s="1"/>
      <c r="BD127" s="5"/>
      <c r="BE127" s="1"/>
      <c r="BF127" s="1"/>
      <c r="BG127" s="4"/>
      <c r="BH127" s="1"/>
      <c r="BI127" s="1"/>
      <c r="BJ127" s="1"/>
      <c r="BK127" s="1"/>
      <c r="BL127" s="1"/>
      <c r="BM127" s="4"/>
      <c r="BN127" s="1"/>
      <c r="BO127" s="1"/>
      <c r="BP127" s="4"/>
      <c r="BQ127" s="1"/>
      <c r="BR127" s="1"/>
      <c r="BS127" s="4"/>
      <c r="BT127" s="15"/>
      <c r="BU127" s="1"/>
      <c r="BV127" s="4"/>
      <c r="BW127" s="1"/>
      <c r="BX127" s="1"/>
      <c r="BY127" s="4"/>
      <c r="BZ127" s="1"/>
      <c r="CA127" s="1"/>
      <c r="CB127" s="4"/>
      <c r="CC127" s="1"/>
      <c r="CD127" s="1"/>
      <c r="CE127" s="4"/>
      <c r="CF127" s="1"/>
      <c r="CG127" s="15"/>
      <c r="CK127" s="1"/>
      <c r="CL127" s="15"/>
      <c r="CM127" s="1"/>
      <c r="CN127" s="1"/>
      <c r="CO127" s="1"/>
      <c r="CP127" s="1"/>
      <c r="CQ127" s="4"/>
      <c r="CR127" s="15"/>
      <c r="CS127" s="1"/>
      <c r="CT127" s="4"/>
      <c r="DH127" s="1"/>
      <c r="DI127" s="1"/>
      <c r="DJ127" s="1"/>
    </row>
    <row r="128">
      <c r="A128" s="1" t="s">
        <v>168</v>
      </c>
      <c r="C128" s="1"/>
      <c r="D128" s="4"/>
      <c r="E128" s="1"/>
      <c r="F128" s="1"/>
      <c r="G128" s="1"/>
      <c r="H128" s="1"/>
      <c r="I128" s="1"/>
      <c r="J128" s="4"/>
      <c r="K128" s="1"/>
      <c r="L128" s="1"/>
      <c r="M128" s="1"/>
      <c r="N128" s="1"/>
      <c r="O128" s="1"/>
      <c r="P128" s="1"/>
      <c r="Q128" s="1"/>
      <c r="R128" s="1"/>
      <c r="T128" s="1"/>
      <c r="U128" s="1"/>
      <c r="V128" s="1"/>
      <c r="W128" s="1"/>
      <c r="X128" s="1"/>
      <c r="Y128" s="1"/>
      <c r="Z128" s="4"/>
      <c r="AA128" s="1"/>
      <c r="AB128" s="1"/>
      <c r="AC128" s="4"/>
      <c r="AE128" s="1"/>
      <c r="AF128" s="4"/>
      <c r="AG128" s="1"/>
      <c r="AH128" s="1"/>
      <c r="AI128" s="4"/>
      <c r="AJ128" s="1"/>
      <c r="AM128" s="1"/>
      <c r="AP128" s="1"/>
      <c r="AQ128" s="1"/>
      <c r="AR128" s="4"/>
      <c r="AS128" s="1"/>
      <c r="AT128" s="1"/>
      <c r="AU128" s="4"/>
      <c r="AV128" s="1"/>
      <c r="AW128" s="1"/>
      <c r="AX128" s="4"/>
      <c r="AY128" s="1"/>
      <c r="AZ128" s="1"/>
      <c r="BA128" s="1"/>
      <c r="BB128" s="1"/>
      <c r="BC128" s="1"/>
      <c r="BD128" s="5"/>
      <c r="BE128" s="1"/>
      <c r="BF128" s="1"/>
      <c r="BG128" s="4"/>
      <c r="BH128" s="1"/>
      <c r="BI128" s="1"/>
      <c r="BJ128" s="1"/>
      <c r="BK128" s="1"/>
      <c r="BL128" s="1"/>
      <c r="BM128" s="4"/>
      <c r="BN128" s="1"/>
      <c r="BO128" s="1"/>
      <c r="BP128" s="4"/>
      <c r="BQ128" s="1"/>
      <c r="BR128" s="1"/>
      <c r="BS128" s="4"/>
      <c r="BT128" s="15"/>
      <c r="BU128" s="1"/>
      <c r="BV128" s="4"/>
      <c r="BW128" s="1"/>
      <c r="BX128" s="1"/>
      <c r="BY128" s="4"/>
      <c r="BZ128" s="1"/>
      <c r="CA128" s="1"/>
      <c r="CB128" s="4"/>
      <c r="CC128" s="1"/>
      <c r="CD128" s="1"/>
      <c r="CE128" s="4"/>
      <c r="CF128" s="1"/>
      <c r="CG128" s="15"/>
      <c r="CK128" s="1"/>
      <c r="CL128" s="15"/>
      <c r="CM128" s="1"/>
      <c r="CN128" s="1"/>
      <c r="CO128" s="1"/>
      <c r="CP128" s="1"/>
      <c r="CQ128" s="4"/>
      <c r="CR128" s="15"/>
      <c r="CS128" s="1"/>
      <c r="CT128" s="4"/>
      <c r="DH128" s="1"/>
      <c r="DI128" s="1"/>
      <c r="DJ128" s="1"/>
    </row>
    <row r="129">
      <c r="A129" s="1" t="s">
        <v>169</v>
      </c>
      <c r="C129" s="1"/>
      <c r="D129" s="4"/>
      <c r="E129" s="1"/>
      <c r="F129" s="1"/>
      <c r="G129" s="1"/>
      <c r="H129" s="1"/>
      <c r="I129" s="1"/>
      <c r="J129" s="4"/>
      <c r="K129" s="1"/>
      <c r="L129" s="1"/>
      <c r="M129" s="1"/>
      <c r="N129" s="1"/>
      <c r="O129" s="1"/>
      <c r="P129" s="1"/>
      <c r="Q129" s="1"/>
      <c r="R129" s="1"/>
      <c r="T129" s="1"/>
      <c r="U129" s="1"/>
      <c r="V129" s="1"/>
      <c r="W129" s="1"/>
      <c r="X129" s="1"/>
      <c r="Y129" s="1"/>
      <c r="Z129" s="4"/>
      <c r="AA129" s="1"/>
      <c r="AB129" s="1"/>
      <c r="AC129" s="4"/>
      <c r="AE129" s="1"/>
      <c r="AF129" s="4"/>
      <c r="AG129" s="1"/>
      <c r="AH129" s="1"/>
      <c r="AI129" s="4"/>
      <c r="AJ129" s="1"/>
      <c r="AM129" s="1"/>
      <c r="AP129" s="1"/>
      <c r="AQ129" s="1"/>
      <c r="AR129" s="4"/>
      <c r="AS129" s="1"/>
      <c r="AT129" s="1"/>
      <c r="AU129" s="4"/>
      <c r="AV129" s="1"/>
      <c r="AW129" s="1"/>
      <c r="AX129" s="4"/>
      <c r="AY129" s="1"/>
      <c r="AZ129" s="1"/>
      <c r="BA129" s="1"/>
      <c r="BB129" s="1"/>
      <c r="BC129" s="1"/>
      <c r="BD129" s="5"/>
      <c r="BE129" s="1"/>
      <c r="BF129" s="1"/>
      <c r="BG129" s="4"/>
      <c r="BH129" s="1"/>
      <c r="BI129" s="1"/>
      <c r="BJ129" s="1"/>
      <c r="BK129" s="1"/>
      <c r="BL129" s="1"/>
      <c r="BM129" s="4"/>
      <c r="BN129" s="1"/>
      <c r="BO129" s="1"/>
      <c r="BP129" s="4"/>
      <c r="BQ129" s="1"/>
      <c r="BR129" s="1"/>
      <c r="BS129" s="4"/>
      <c r="BT129" s="15"/>
      <c r="BU129" s="1"/>
      <c r="BV129" s="4"/>
      <c r="BW129" s="1"/>
      <c r="BX129" s="1"/>
      <c r="BY129" s="4"/>
      <c r="BZ129" s="1"/>
      <c r="CA129" s="1"/>
      <c r="CB129" s="4"/>
      <c r="CC129" s="1"/>
      <c r="CD129" s="1"/>
      <c r="CE129" s="4"/>
      <c r="CF129" s="1"/>
      <c r="CG129" s="15"/>
      <c r="CK129" s="1"/>
      <c r="CL129" s="15"/>
      <c r="CM129" s="1"/>
      <c r="CN129" s="1"/>
      <c r="CO129" s="1"/>
      <c r="CP129" s="1"/>
      <c r="CQ129" s="4"/>
      <c r="CR129" s="15"/>
      <c r="CS129" s="1"/>
      <c r="CT129" s="4"/>
      <c r="DH129" s="1"/>
      <c r="DI129" s="1"/>
      <c r="DJ129" s="1"/>
    </row>
    <row r="130">
      <c r="A130" s="3" t="s">
        <v>170</v>
      </c>
      <c r="E130" s="1"/>
      <c r="F130" s="1"/>
      <c r="G130" s="1"/>
      <c r="H130" s="1"/>
      <c r="K130" s="1"/>
      <c r="L130" s="1"/>
      <c r="M130" s="1"/>
      <c r="N130" s="1"/>
      <c r="O130" s="1"/>
      <c r="P130" s="1"/>
      <c r="Q130" s="1"/>
      <c r="R130" s="1"/>
      <c r="T130" s="1"/>
      <c r="U130" s="1"/>
      <c r="V130" s="1"/>
      <c r="W130" s="1"/>
      <c r="X130" s="1"/>
      <c r="Y130" s="1"/>
      <c r="Z130" s="4"/>
      <c r="AA130" s="1"/>
      <c r="AB130" s="1"/>
      <c r="AC130" s="4"/>
      <c r="AG130" s="1"/>
      <c r="AH130" s="1"/>
      <c r="AI130" s="4"/>
      <c r="AJ130" s="1"/>
      <c r="AM130" s="1"/>
      <c r="AP130" s="1"/>
      <c r="AQ130" s="1"/>
      <c r="AR130" s="4"/>
      <c r="AS130" s="1"/>
      <c r="AT130" s="1"/>
      <c r="AU130" s="4"/>
      <c r="AV130" s="1"/>
      <c r="AW130" s="1"/>
      <c r="AX130" s="4"/>
      <c r="AY130" s="1"/>
      <c r="AZ130" s="1"/>
      <c r="BA130" s="1"/>
      <c r="BB130" s="1"/>
      <c r="BC130" s="1"/>
      <c r="BD130" s="5"/>
      <c r="BE130" s="1"/>
      <c r="BF130" s="1"/>
      <c r="BG130" s="4"/>
      <c r="BH130" s="1"/>
      <c r="BI130" s="1"/>
      <c r="BJ130" s="1"/>
      <c r="BK130" s="1"/>
      <c r="BL130" s="1"/>
      <c r="BM130" s="4"/>
      <c r="BN130" s="1"/>
      <c r="BO130" s="1"/>
      <c r="BP130" s="4"/>
      <c r="BQ130" s="1"/>
      <c r="BR130" s="1"/>
      <c r="BS130" s="4"/>
      <c r="BT130" s="15"/>
      <c r="BU130" s="1"/>
      <c r="BV130" s="4"/>
      <c r="BW130" s="1"/>
      <c r="BX130" s="1"/>
      <c r="BY130" s="4"/>
      <c r="BZ130" s="1"/>
      <c r="CA130" s="1"/>
      <c r="CB130" s="4"/>
      <c r="CC130" s="1"/>
      <c r="CD130" s="1"/>
      <c r="CE130" s="4"/>
      <c r="CF130" s="1"/>
      <c r="CG130" s="15"/>
      <c r="CK130" s="1"/>
      <c r="CL130" s="15"/>
      <c r="CM130" s="1"/>
      <c r="CN130" s="1"/>
      <c r="CO130" s="1"/>
      <c r="CP130" s="1"/>
      <c r="CQ130" s="4"/>
      <c r="CR130" s="15"/>
      <c r="CS130" s="1"/>
      <c r="CT130" s="4"/>
      <c r="DH130" s="1"/>
      <c r="DI130" s="1"/>
      <c r="DJ130" s="1"/>
    </row>
    <row r="131">
      <c r="A131" s="3" t="s">
        <v>171</v>
      </c>
      <c r="E131" s="1"/>
      <c r="F131" s="1"/>
      <c r="G131" s="1"/>
      <c r="H131" s="1"/>
      <c r="K131" s="1"/>
      <c r="L131" s="1"/>
      <c r="M131" s="1"/>
      <c r="N131" s="1"/>
      <c r="O131" s="1"/>
      <c r="P131" s="1"/>
      <c r="Q131" s="1"/>
      <c r="R131" s="1"/>
      <c r="T131" s="1"/>
      <c r="U131" s="1"/>
      <c r="V131" s="1"/>
      <c r="W131" s="1"/>
      <c r="X131" s="1"/>
      <c r="Y131" s="1"/>
      <c r="Z131" s="4"/>
      <c r="AA131" s="1"/>
      <c r="AB131" s="1"/>
      <c r="AC131" s="4"/>
      <c r="AG131" s="1"/>
      <c r="AH131" s="1"/>
      <c r="AI131" s="4"/>
      <c r="AJ131" s="1"/>
      <c r="AM131" s="1"/>
      <c r="AP131" s="1"/>
      <c r="AQ131" s="1"/>
      <c r="AR131" s="4"/>
      <c r="AS131" s="1"/>
      <c r="AT131" s="1"/>
      <c r="AU131" s="4"/>
      <c r="AV131" s="1"/>
      <c r="AW131" s="1"/>
      <c r="AX131" s="4"/>
      <c r="AY131" s="1"/>
      <c r="AZ131" s="1"/>
      <c r="BA131" s="1"/>
      <c r="BB131" s="1"/>
      <c r="BC131" s="1"/>
      <c r="BD131" s="5"/>
      <c r="BE131" s="1"/>
      <c r="BF131" s="1"/>
      <c r="BG131" s="4"/>
      <c r="BH131" s="1"/>
      <c r="BI131" s="1"/>
      <c r="BJ131" s="1"/>
      <c r="BK131" s="1"/>
      <c r="BL131" s="1"/>
      <c r="BM131" s="4"/>
      <c r="BN131" s="1"/>
      <c r="BO131" s="1"/>
      <c r="BP131" s="4"/>
      <c r="BQ131" s="1"/>
      <c r="BR131" s="1"/>
      <c r="BS131" s="4"/>
      <c r="BT131" s="15"/>
      <c r="BU131" s="1"/>
      <c r="BV131" s="4"/>
      <c r="BW131" s="1"/>
      <c r="BX131" s="1"/>
      <c r="BY131" s="4"/>
      <c r="BZ131" s="1"/>
      <c r="CA131" s="1"/>
      <c r="CB131" s="4"/>
      <c r="CC131" s="1"/>
      <c r="CD131" s="1"/>
      <c r="CE131" s="4"/>
      <c r="CF131" s="1"/>
      <c r="CG131" s="15"/>
      <c r="CK131" s="1"/>
      <c r="CL131" s="15"/>
      <c r="CM131" s="1"/>
      <c r="CN131" s="1"/>
      <c r="CO131" s="1"/>
      <c r="CP131" s="1"/>
      <c r="CQ131" s="4"/>
      <c r="CR131" s="15"/>
      <c r="CS131" s="1"/>
      <c r="CT131" s="4"/>
      <c r="DH131" s="1"/>
      <c r="DI131" s="1"/>
      <c r="DJ13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63"/>
    <col customWidth="1" min="2" max="2" width="13.63"/>
    <col customWidth="1" min="3" max="3" width="6.88"/>
    <col customWidth="1" min="4" max="4" width="7.25"/>
    <col customWidth="1" min="5" max="5" width="6.5"/>
    <col customWidth="1" min="6" max="6" width="6.25"/>
    <col customWidth="1" min="7" max="7" width="10.75"/>
    <col customWidth="1" min="8" max="8" width="6.25"/>
    <col customWidth="1" min="9" max="9" width="21.0"/>
    <col customWidth="1" min="10" max="10" width="6.0"/>
    <col customWidth="1" min="11" max="11" width="6.25"/>
    <col customWidth="1" min="12" max="12" width="24.5"/>
    <col customWidth="1" min="14" max="14" width="4.63"/>
    <col customWidth="1" min="15" max="15" width="3.75"/>
    <col customWidth="1" min="16" max="16" width="24.5"/>
  </cols>
  <sheetData>
    <row r="1">
      <c r="A1" s="55" t="s">
        <v>172</v>
      </c>
      <c r="B1" s="55" t="s">
        <v>173</v>
      </c>
      <c r="C1" s="56" t="s">
        <v>174</v>
      </c>
      <c r="D1" s="56" t="s">
        <v>45</v>
      </c>
      <c r="E1" s="57" t="s">
        <v>175</v>
      </c>
      <c r="F1" s="56" t="s">
        <v>176</v>
      </c>
      <c r="G1" s="56" t="s">
        <v>177</v>
      </c>
      <c r="H1" s="56" t="s">
        <v>178</v>
      </c>
      <c r="I1" s="58" t="s">
        <v>179</v>
      </c>
      <c r="J1" s="56" t="s">
        <v>180</v>
      </c>
      <c r="K1" s="56" t="s">
        <v>181</v>
      </c>
      <c r="L1" s="58" t="s">
        <v>182</v>
      </c>
      <c r="M1" s="59" t="s">
        <v>42</v>
      </c>
      <c r="N1" s="58" t="s">
        <v>183</v>
      </c>
      <c r="O1" s="58"/>
      <c r="P1" s="58"/>
    </row>
    <row r="2">
      <c r="A2" s="60" t="s">
        <v>184</v>
      </c>
      <c r="B2" s="61" t="s">
        <v>7</v>
      </c>
      <c r="C2" s="62">
        <v>154.08970976253298</v>
      </c>
      <c r="D2" s="62">
        <v>94.98680738786278</v>
      </c>
      <c r="E2" s="63">
        <v>154.08970976253298</v>
      </c>
      <c r="F2" s="62">
        <v>289.18205804749346</v>
      </c>
      <c r="G2" s="63">
        <v>297.6253298153034</v>
      </c>
      <c r="H2" s="62">
        <v>428.4960422163589</v>
      </c>
      <c r="I2" s="63">
        <v>496.0422163588391</v>
      </c>
      <c r="J2" s="62">
        <v>113.98416886543536</v>
      </c>
      <c r="K2" s="62">
        <v>510.8179419525067</v>
      </c>
      <c r="L2" s="63">
        <v>667.0184696569921</v>
      </c>
      <c r="M2" s="59">
        <v>53.0</v>
      </c>
      <c r="N2" s="63">
        <f t="shared" ref="N2:N14" si="1">E2*10+(G2-E2)*4+(I2-G2-E2)*2+L2-I2-G2-E2</f>
        <v>1922.955145</v>
      </c>
      <c r="O2" s="63">
        <f>N2*0.13*2.22</f>
        <v>554.9648549</v>
      </c>
      <c r="P2" s="63"/>
    </row>
    <row r="3">
      <c r="A3" s="60" t="s">
        <v>184</v>
      </c>
      <c r="B3" s="64" t="s">
        <v>8</v>
      </c>
      <c r="C3" s="62">
        <v>105.00000000000001</v>
      </c>
      <c r="D3" s="62">
        <v>48.333333333333336</v>
      </c>
      <c r="E3" s="63">
        <v>105.00000000000001</v>
      </c>
      <c r="F3" s="62">
        <v>193.33333333333334</v>
      </c>
      <c r="G3" s="63">
        <v>196.66666666666669</v>
      </c>
      <c r="H3" s="62">
        <v>401.66666666666674</v>
      </c>
      <c r="I3" s="63">
        <v>430.0</v>
      </c>
      <c r="J3" s="62">
        <v>101.66666666666669</v>
      </c>
      <c r="K3" s="62">
        <v>668.3333333333334</v>
      </c>
      <c r="L3" s="63">
        <v>721.6666666666666</v>
      </c>
      <c r="M3" s="59">
        <v>120.0</v>
      </c>
      <c r="N3" s="63">
        <f t="shared" si="1"/>
        <v>1663.333333</v>
      </c>
      <c r="O3" s="63">
        <f>N4*0.15*2.22</f>
        <v>512.4694737</v>
      </c>
      <c r="P3" s="63"/>
    </row>
    <row r="4">
      <c r="A4" s="60" t="s">
        <v>184</v>
      </c>
      <c r="B4" s="64" t="s">
        <v>0</v>
      </c>
      <c r="C4" s="65">
        <v>46.31578947368421</v>
      </c>
      <c r="D4" s="65">
        <v>21.052631578947366</v>
      </c>
      <c r="E4" s="66">
        <v>46.31578947368421</v>
      </c>
      <c r="F4" s="65">
        <v>166.3157894736842</v>
      </c>
      <c r="G4" s="66">
        <v>174.73684210526315</v>
      </c>
      <c r="H4" s="65">
        <v>370.52631578947364</v>
      </c>
      <c r="I4" s="66">
        <v>503.1578947368421</v>
      </c>
      <c r="J4" s="65">
        <v>107.36842105263159</v>
      </c>
      <c r="K4" s="65">
        <v>484.21052631578937</v>
      </c>
      <c r="L4" s="66">
        <v>722.1052631578947</v>
      </c>
      <c r="M4" s="59">
        <v>67.0</v>
      </c>
      <c r="N4" s="66">
        <f t="shared" si="1"/>
        <v>1538.947368</v>
      </c>
      <c r="O4" s="63">
        <f>N4*0.21*1.33</f>
        <v>429.828</v>
      </c>
      <c r="P4" s="63"/>
    </row>
    <row r="5">
      <c r="A5" s="60" t="s">
        <v>184</v>
      </c>
      <c r="B5" s="64" t="s">
        <v>2</v>
      </c>
      <c r="C5" s="62">
        <v>68.46846846846846</v>
      </c>
      <c r="D5" s="62">
        <v>39.63963963963964</v>
      </c>
      <c r="E5" s="63">
        <v>68.46846846846846</v>
      </c>
      <c r="F5" s="62">
        <v>180.18018018018017</v>
      </c>
      <c r="G5" s="63">
        <v>187.38738738738738</v>
      </c>
      <c r="H5" s="62">
        <v>371.1711711711712</v>
      </c>
      <c r="I5" s="63">
        <v>421.6216216216216</v>
      </c>
      <c r="J5" s="62">
        <v>104.50450450450451</v>
      </c>
      <c r="K5" s="62">
        <v>464.86486486486496</v>
      </c>
      <c r="L5" s="63">
        <v>627.0270270270271</v>
      </c>
      <c r="M5" s="59">
        <v>70.0</v>
      </c>
      <c r="N5" s="63">
        <f t="shared" si="1"/>
        <v>1441.441441</v>
      </c>
      <c r="O5" s="63"/>
      <c r="P5" s="63"/>
    </row>
    <row r="6">
      <c r="A6" s="60" t="s">
        <v>184</v>
      </c>
      <c r="B6" s="64" t="s">
        <v>1</v>
      </c>
      <c r="C6" s="62">
        <v>83.33333333333333</v>
      </c>
      <c r="D6" s="62">
        <v>43.333333333333336</v>
      </c>
      <c r="E6" s="63">
        <v>83.33333333333333</v>
      </c>
      <c r="F6" s="62">
        <v>199.99999999999997</v>
      </c>
      <c r="G6" s="63">
        <v>208.33333333333331</v>
      </c>
      <c r="H6" s="62">
        <v>326.6666666666667</v>
      </c>
      <c r="I6" s="63">
        <v>371.66666666666663</v>
      </c>
      <c r="J6" s="62">
        <v>110.0</v>
      </c>
      <c r="K6" s="62">
        <v>465.0000000000001</v>
      </c>
      <c r="L6" s="63">
        <v>610.0</v>
      </c>
      <c r="M6" s="59">
        <v>79.0</v>
      </c>
      <c r="N6" s="63">
        <f t="shared" si="1"/>
        <v>1440</v>
      </c>
      <c r="O6" s="63">
        <f>N6*0.2*1.33</f>
        <v>383.04</v>
      </c>
      <c r="P6" s="63"/>
    </row>
    <row r="7">
      <c r="A7" s="60" t="s">
        <v>184</v>
      </c>
      <c r="B7" s="67" t="s">
        <v>3</v>
      </c>
      <c r="C7" s="62">
        <v>72.76119402985074</v>
      </c>
      <c r="D7" s="62">
        <v>29.850746268656717</v>
      </c>
      <c r="E7" s="63">
        <v>72.76119402985074</v>
      </c>
      <c r="F7" s="62">
        <v>128.73134328358208</v>
      </c>
      <c r="G7" s="63">
        <v>145.52238805970148</v>
      </c>
      <c r="H7" s="62">
        <v>322.76119402985074</v>
      </c>
      <c r="I7" s="63">
        <v>378.7313432835821</v>
      </c>
      <c r="J7" s="62">
        <v>110.07462686567165</v>
      </c>
      <c r="K7" s="62">
        <v>479.4776119402986</v>
      </c>
      <c r="L7" s="63">
        <v>611.9402985074627</v>
      </c>
      <c r="M7" s="59">
        <v>108.0</v>
      </c>
      <c r="N7" s="63">
        <f t="shared" si="1"/>
        <v>1354.477612</v>
      </c>
      <c r="O7" s="63">
        <f>N8*0.15*2.22</f>
        <v>417.8481675</v>
      </c>
      <c r="P7" s="63"/>
    </row>
    <row r="8">
      <c r="A8" s="60" t="s">
        <v>184</v>
      </c>
      <c r="B8" s="67" t="s">
        <v>10</v>
      </c>
      <c r="C8" s="62">
        <v>73.29842931937172</v>
      </c>
      <c r="D8" s="62">
        <v>40.13961605584642</v>
      </c>
      <c r="E8" s="63">
        <v>73.29842931937172</v>
      </c>
      <c r="F8" s="62">
        <v>158.8132635253054</v>
      </c>
      <c r="G8" s="63">
        <v>176.26527050610818</v>
      </c>
      <c r="H8" s="62">
        <v>305.41012216404886</v>
      </c>
      <c r="I8" s="63">
        <v>340.3141361256544</v>
      </c>
      <c r="J8" s="62">
        <v>92.49563699825481</v>
      </c>
      <c r="K8" s="62">
        <v>436.30017452006985</v>
      </c>
      <c r="L8" s="63">
        <v>518.3246073298429</v>
      </c>
      <c r="M8" s="59">
        <v>61.0</v>
      </c>
      <c r="N8" s="63">
        <f t="shared" si="1"/>
        <v>1254.799302</v>
      </c>
      <c r="O8" s="63">
        <f>N8*0.1*2.22</f>
        <v>278.565445</v>
      </c>
      <c r="P8" s="63"/>
    </row>
    <row r="9">
      <c r="A9" s="60" t="s">
        <v>184</v>
      </c>
      <c r="B9" s="67" t="s">
        <v>9</v>
      </c>
      <c r="C9" s="62">
        <v>38.4</v>
      </c>
      <c r="D9" s="62">
        <v>12.799999999999999</v>
      </c>
      <c r="E9" s="63">
        <v>38.4</v>
      </c>
      <c r="F9" s="62">
        <v>117.33333333333334</v>
      </c>
      <c r="G9" s="63">
        <v>128.0</v>
      </c>
      <c r="H9" s="62">
        <v>292.26666666666665</v>
      </c>
      <c r="I9" s="63">
        <v>371.2</v>
      </c>
      <c r="J9" s="62">
        <v>83.2</v>
      </c>
      <c r="K9" s="62">
        <v>433.0666666666666</v>
      </c>
      <c r="L9" s="63">
        <v>631.4666666666666</v>
      </c>
      <c r="M9" s="59">
        <v>98.0</v>
      </c>
      <c r="N9" s="63">
        <f t="shared" si="1"/>
        <v>1245.866667</v>
      </c>
      <c r="O9" s="63"/>
      <c r="P9" s="63"/>
    </row>
    <row r="10">
      <c r="A10" s="60" t="s">
        <v>184</v>
      </c>
      <c r="B10" s="67" t="s">
        <v>5</v>
      </c>
      <c r="C10" s="65">
        <v>16.842105263157894</v>
      </c>
      <c r="D10" s="65">
        <v>8.421052631578947</v>
      </c>
      <c r="E10" s="66">
        <v>16.842105263157894</v>
      </c>
      <c r="F10" s="65">
        <v>46.315789473684205</v>
      </c>
      <c r="G10" s="66">
        <v>46.315789473684205</v>
      </c>
      <c r="H10" s="65">
        <v>195.78947368421052</v>
      </c>
      <c r="I10" s="66">
        <v>195.78947368421052</v>
      </c>
      <c r="J10" s="65">
        <v>44.21052631578947</v>
      </c>
      <c r="K10" s="65">
        <v>701.0526315789473</v>
      </c>
      <c r="L10" s="66">
        <v>701.0526315789473</v>
      </c>
      <c r="M10" s="59">
        <v>328.0</v>
      </c>
      <c r="N10" s="66">
        <f t="shared" si="1"/>
        <v>993.6842105</v>
      </c>
      <c r="O10" s="63"/>
      <c r="P10" s="63"/>
    </row>
    <row r="11">
      <c r="A11" s="60" t="s">
        <v>184</v>
      </c>
      <c r="B11" s="68" t="s">
        <v>4</v>
      </c>
      <c r="C11" s="62">
        <v>30.46594982078853</v>
      </c>
      <c r="D11" s="62">
        <v>7.168458781362007</v>
      </c>
      <c r="E11" s="63">
        <v>30.46594982078853</v>
      </c>
      <c r="F11" s="62">
        <v>80.64516129032259</v>
      </c>
      <c r="G11" s="63">
        <v>84.2293906810036</v>
      </c>
      <c r="H11" s="62">
        <v>182.7956989247312</v>
      </c>
      <c r="I11" s="63">
        <v>227.59856630824373</v>
      </c>
      <c r="J11" s="62">
        <v>46.59498207885305</v>
      </c>
      <c r="K11" s="62">
        <v>308.24372759856635</v>
      </c>
      <c r="L11" s="63">
        <v>435.48387096774195</v>
      </c>
      <c r="M11" s="59">
        <v>73.0</v>
      </c>
      <c r="N11" s="63">
        <f t="shared" si="1"/>
        <v>838.7096774</v>
      </c>
      <c r="O11" s="63"/>
      <c r="P11" s="63"/>
    </row>
    <row r="12">
      <c r="A12" s="60" t="s">
        <v>184</v>
      </c>
      <c r="B12" s="68" t="s">
        <v>185</v>
      </c>
      <c r="C12" s="62">
        <v>22.857142857142858</v>
      </c>
      <c r="D12" s="62">
        <v>11.428571428571429</v>
      </c>
      <c r="E12" s="63">
        <v>22.857142857142858</v>
      </c>
      <c r="F12" s="62">
        <v>62.857142857142854</v>
      </c>
      <c r="G12" s="63">
        <v>72.38095238095238</v>
      </c>
      <c r="H12" s="62">
        <v>163.80952380952382</v>
      </c>
      <c r="I12" s="63">
        <v>200.0</v>
      </c>
      <c r="J12" s="62">
        <v>45.714285714285715</v>
      </c>
      <c r="K12" s="62">
        <v>300.95238095238096</v>
      </c>
      <c r="L12" s="63">
        <v>449.5238095238095</v>
      </c>
      <c r="M12" s="59">
        <v>53.0</v>
      </c>
      <c r="N12" s="63">
        <f t="shared" si="1"/>
        <v>790.4761905</v>
      </c>
      <c r="O12" s="63"/>
      <c r="P12" s="63"/>
    </row>
    <row r="13">
      <c r="A13" s="60" t="s">
        <v>184</v>
      </c>
      <c r="B13" s="69" t="s">
        <v>11</v>
      </c>
      <c r="C13" s="62">
        <v>12.56281407035176</v>
      </c>
      <c r="D13" s="62">
        <v>10.050251256281408</v>
      </c>
      <c r="E13" s="63">
        <v>12.56281407035176</v>
      </c>
      <c r="F13" s="62">
        <v>22.61306532663317</v>
      </c>
      <c r="G13" s="63">
        <v>22.61306532663317</v>
      </c>
      <c r="H13" s="62">
        <v>100.50251256281408</v>
      </c>
      <c r="I13" s="63">
        <v>108.04020100502512</v>
      </c>
      <c r="J13" s="62">
        <v>15.07537688442211</v>
      </c>
      <c r="K13" s="62">
        <v>288.94472361809045</v>
      </c>
      <c r="L13" s="63">
        <v>311.5577889447236</v>
      </c>
      <c r="M13" s="59">
        <v>73.0</v>
      </c>
      <c r="N13" s="63">
        <f t="shared" si="1"/>
        <v>479.8994975</v>
      </c>
      <c r="O13" s="63"/>
      <c r="P13" s="63"/>
    </row>
    <row r="14">
      <c r="A14" s="60" t="s">
        <v>184</v>
      </c>
      <c r="B14" s="70" t="s">
        <v>12</v>
      </c>
      <c r="C14" s="62">
        <v>4.065040650406504</v>
      </c>
      <c r="D14" s="62">
        <v>4.065040650406504</v>
      </c>
      <c r="E14" s="63">
        <v>8.130081300813009</v>
      </c>
      <c r="F14" s="62">
        <v>8.130081300813009</v>
      </c>
      <c r="G14" s="63">
        <v>8.130081300813009</v>
      </c>
      <c r="H14" s="62">
        <v>77.23577235772358</v>
      </c>
      <c r="I14" s="63">
        <v>85.36585365853658</v>
      </c>
      <c r="J14" s="62">
        <v>4.065040650406504</v>
      </c>
      <c r="K14" s="62">
        <v>186.9918699186992</v>
      </c>
      <c r="L14" s="63">
        <v>203.2520325203252</v>
      </c>
      <c r="M14" s="59">
        <v>154.0</v>
      </c>
      <c r="N14" s="63">
        <f t="shared" si="1"/>
        <v>321.1382114</v>
      </c>
      <c r="O14" s="63"/>
      <c r="P14" s="63"/>
    </row>
    <row r="15">
      <c r="A15" s="55" t="s">
        <v>172</v>
      </c>
      <c r="B15" s="55" t="s">
        <v>173</v>
      </c>
      <c r="C15" s="56" t="s">
        <v>174</v>
      </c>
      <c r="D15" s="56" t="s">
        <v>45</v>
      </c>
      <c r="E15" s="57" t="s">
        <v>175</v>
      </c>
      <c r="F15" s="56" t="s">
        <v>176</v>
      </c>
      <c r="G15" s="56" t="s">
        <v>177</v>
      </c>
      <c r="H15" s="56" t="s">
        <v>178</v>
      </c>
      <c r="I15" s="58" t="s">
        <v>179</v>
      </c>
      <c r="J15" s="56" t="s">
        <v>180</v>
      </c>
      <c r="K15" s="56" t="s">
        <v>181</v>
      </c>
      <c r="L15" s="58" t="s">
        <v>182</v>
      </c>
      <c r="M15" s="59" t="s">
        <v>42</v>
      </c>
      <c r="N15" s="58" t="s">
        <v>183</v>
      </c>
      <c r="O15" s="63"/>
      <c r="P15" s="63"/>
    </row>
    <row r="16">
      <c r="A16" s="60" t="s">
        <v>186</v>
      </c>
      <c r="B16" s="64" t="s">
        <v>13</v>
      </c>
      <c r="C16" s="62">
        <v>41.289023162134946</v>
      </c>
      <c r="D16" s="62">
        <v>28.197381671701912</v>
      </c>
      <c r="E16" s="63">
        <v>41.79254783484391</v>
      </c>
      <c r="F16" s="62">
        <v>73.0110775427996</v>
      </c>
      <c r="G16" s="63">
        <v>75.02517623363545</v>
      </c>
      <c r="H16" s="62">
        <v>184.29003021148037</v>
      </c>
      <c r="I16" s="63">
        <v>199.8992950654582</v>
      </c>
      <c r="J16" s="62">
        <v>32.72910372608258</v>
      </c>
      <c r="K16" s="62">
        <v>370.0906344410877</v>
      </c>
      <c r="L16" s="63">
        <v>412.3867069486405</v>
      </c>
      <c r="M16" s="59">
        <v>130.0</v>
      </c>
      <c r="N16" s="63">
        <f t="shared" ref="N16:N18" si="2">E16*10+(G16-E16)*4+(I16-G16-E16)*2+L16-I16-G16-E16</f>
        <v>812.6888218</v>
      </c>
      <c r="O16" s="63"/>
      <c r="P16" s="63"/>
    </row>
    <row r="17">
      <c r="A17" s="60" t="s">
        <v>186</v>
      </c>
      <c r="B17" s="64" t="s">
        <v>15</v>
      </c>
      <c r="C17" s="62">
        <v>24.074074074074076</v>
      </c>
      <c r="D17" s="62">
        <v>10.185185185185187</v>
      </c>
      <c r="E17" s="63">
        <v>24.537037037037038</v>
      </c>
      <c r="F17" s="62">
        <v>47.22222222222222</v>
      </c>
      <c r="G17" s="63">
        <v>50.46296296296296</v>
      </c>
      <c r="H17" s="62">
        <v>177.77777777777777</v>
      </c>
      <c r="I17" s="63">
        <v>188.42592592592592</v>
      </c>
      <c r="J17" s="62">
        <v>28.24074074074074</v>
      </c>
      <c r="K17" s="62">
        <v>460.18518518518505</v>
      </c>
      <c r="L17" s="63">
        <v>479.6296296296296</v>
      </c>
      <c r="M17" s="59">
        <v>220.0</v>
      </c>
      <c r="N17" s="63">
        <f t="shared" si="2"/>
        <v>792.1296296</v>
      </c>
      <c r="O17" s="63"/>
      <c r="P17" s="63"/>
    </row>
    <row r="18">
      <c r="A18" s="60" t="s">
        <v>186</v>
      </c>
      <c r="B18" s="64" t="s">
        <v>14</v>
      </c>
      <c r="C18" s="62">
        <v>28.009828009828013</v>
      </c>
      <c r="D18" s="62">
        <v>13.75921375921376</v>
      </c>
      <c r="E18" s="63">
        <v>28.992628992628994</v>
      </c>
      <c r="F18" s="62">
        <v>63.39066339066339</v>
      </c>
      <c r="G18" s="63">
        <v>65.84766584766585</v>
      </c>
      <c r="H18" s="62">
        <v>176.41277641277642</v>
      </c>
      <c r="I18" s="63">
        <v>192.62899262899265</v>
      </c>
      <c r="J18" s="62">
        <v>0.0</v>
      </c>
      <c r="K18" s="62">
        <v>348.40294840294837</v>
      </c>
      <c r="L18" s="63">
        <v>400.0</v>
      </c>
      <c r="M18" s="59">
        <v>114.0</v>
      </c>
      <c r="N18" s="63">
        <f t="shared" si="2"/>
        <v>745.4545455</v>
      </c>
      <c r="O18" s="63"/>
      <c r="P18" s="63"/>
    </row>
    <row r="19">
      <c r="A19" s="60" t="s">
        <v>186</v>
      </c>
      <c r="B19" s="64" t="s">
        <v>16</v>
      </c>
      <c r="C19" s="62">
        <v>15.374759769378604</v>
      </c>
      <c r="D19" s="62">
        <v>5.7655349135169764</v>
      </c>
      <c r="E19" s="63">
        <v>15.374759769378604</v>
      </c>
      <c r="F19" s="62">
        <v>26.265214606021782</v>
      </c>
      <c r="G19" s="63">
        <v>26.265214606021782</v>
      </c>
      <c r="H19" s="62">
        <v>172.3254324151185</v>
      </c>
      <c r="I19" s="63">
        <v>174.8878923766816</v>
      </c>
      <c r="J19" s="62">
        <v>17.937219730941703</v>
      </c>
      <c r="K19" s="62">
        <v>453.5554131966688</v>
      </c>
      <c r="L19" s="63">
        <v>456.1178731582319</v>
      </c>
      <c r="M19" s="62">
        <v>273.542600896861</v>
      </c>
      <c r="N19" s="63">
        <v>703.3952594490711</v>
      </c>
      <c r="O19" s="63"/>
      <c r="P19" s="63"/>
    </row>
    <row r="20">
      <c r="A20" s="60" t="s">
        <v>186</v>
      </c>
      <c r="B20" s="64" t="s">
        <v>17</v>
      </c>
      <c r="C20" s="62">
        <v>23.738872403560833</v>
      </c>
      <c r="D20" s="62">
        <v>8.902077151335313</v>
      </c>
      <c r="E20" s="63">
        <v>23.738872403560833</v>
      </c>
      <c r="F20" s="62">
        <v>38.575667655786354</v>
      </c>
      <c r="G20" s="63">
        <v>38.575667655786354</v>
      </c>
      <c r="H20" s="62">
        <v>154.3026706231454</v>
      </c>
      <c r="I20" s="63">
        <v>157.2700296735905</v>
      </c>
      <c r="J20" s="62">
        <v>47.47774480712167</v>
      </c>
      <c r="K20" s="62">
        <v>391.69139465875367</v>
      </c>
      <c r="L20" s="63">
        <v>403.5608308605341</v>
      </c>
      <c r="M20" s="59">
        <v>104.0</v>
      </c>
      <c r="N20" s="63">
        <f t="shared" ref="N20:N31" si="3">E20*10+(G20-E20)*4+(I20-G20-E20)*2+L20-I20-G20-E20</f>
        <v>670.6231454</v>
      </c>
      <c r="O20" s="63"/>
      <c r="P20" s="63"/>
    </row>
    <row r="21">
      <c r="A21" s="60" t="s">
        <v>186</v>
      </c>
      <c r="B21" s="71" t="s">
        <v>187</v>
      </c>
      <c r="C21" s="62">
        <v>11.860386309725516</v>
      </c>
      <c r="D21" s="62">
        <v>3.049813622500847</v>
      </c>
      <c r="E21" s="63">
        <v>12.199254490003389</v>
      </c>
      <c r="F21" s="62">
        <v>31.514740765842085</v>
      </c>
      <c r="G21" s="63">
        <v>31.514740765842085</v>
      </c>
      <c r="H21" s="62">
        <v>143.00237207726195</v>
      </c>
      <c r="I21" s="63">
        <v>146.72992206031853</v>
      </c>
      <c r="J21" s="62">
        <v>16.604540833615722</v>
      </c>
      <c r="K21" s="62">
        <v>371.73839376482556</v>
      </c>
      <c r="L21" s="63">
        <v>380.5489664520502</v>
      </c>
      <c r="M21" s="59">
        <v>222.0</v>
      </c>
      <c r="N21" s="63">
        <f t="shared" si="3"/>
        <v>595.3913927</v>
      </c>
      <c r="O21" s="63"/>
      <c r="P21" s="63"/>
    </row>
    <row r="22">
      <c r="A22" s="60" t="s">
        <v>186</v>
      </c>
      <c r="B22" s="67" t="s">
        <v>19</v>
      </c>
      <c r="C22" s="62">
        <v>19.230769230769234</v>
      </c>
      <c r="D22" s="62">
        <v>8.333333333333334</v>
      </c>
      <c r="E22" s="63">
        <v>19.230769230769234</v>
      </c>
      <c r="F22" s="62">
        <v>36.53846153846154</v>
      </c>
      <c r="G22" s="63">
        <v>38.46153846153847</v>
      </c>
      <c r="H22" s="62">
        <v>123.71794871794872</v>
      </c>
      <c r="I22" s="63">
        <v>132.69230769230768</v>
      </c>
      <c r="J22" s="62">
        <v>21.794871794871792</v>
      </c>
      <c r="K22" s="62">
        <v>261.53846153846155</v>
      </c>
      <c r="L22" s="63">
        <v>287.1794871794872</v>
      </c>
      <c r="M22" s="59">
        <v>129.0</v>
      </c>
      <c r="N22" s="63">
        <f t="shared" si="3"/>
        <v>516.025641</v>
      </c>
      <c r="O22" s="63"/>
      <c r="P22" s="63"/>
    </row>
    <row r="23">
      <c r="A23" s="60" t="s">
        <v>186</v>
      </c>
      <c r="B23" s="72" t="s">
        <v>188</v>
      </c>
      <c r="C23" s="62">
        <v>19.87083954297069</v>
      </c>
      <c r="D23" s="62">
        <v>12.419274714356682</v>
      </c>
      <c r="E23" s="63">
        <v>19.87083954297069</v>
      </c>
      <c r="F23" s="62">
        <v>33.780427223050175</v>
      </c>
      <c r="G23" s="63">
        <v>34.77396920019871</v>
      </c>
      <c r="H23" s="62">
        <v>105.31544957774466</v>
      </c>
      <c r="I23" s="63">
        <v>112.2702434177844</v>
      </c>
      <c r="J23" s="62">
        <v>18.877297565822158</v>
      </c>
      <c r="K23" s="62">
        <v>187.77943368107302</v>
      </c>
      <c r="L23" s="63">
        <v>208.64381520119224</v>
      </c>
      <c r="M23" s="59">
        <v>72.0</v>
      </c>
      <c r="N23" s="63">
        <f t="shared" si="3"/>
        <v>415.3005464</v>
      </c>
      <c r="O23" s="63"/>
      <c r="P23" s="63"/>
    </row>
    <row r="24">
      <c r="A24" s="60" t="s">
        <v>186</v>
      </c>
      <c r="B24" s="68" t="s">
        <v>21</v>
      </c>
      <c r="C24" s="62">
        <v>6.240249609984399</v>
      </c>
      <c r="D24" s="62">
        <v>4.160166406656266</v>
      </c>
      <c r="E24" s="63">
        <v>6.240249609984399</v>
      </c>
      <c r="F24" s="62">
        <v>16.640665626625065</v>
      </c>
      <c r="G24" s="63">
        <v>20.80083203328133</v>
      </c>
      <c r="H24" s="62">
        <v>116.48465938637545</v>
      </c>
      <c r="I24" s="63">
        <v>126.88507540301612</v>
      </c>
      <c r="J24" s="62">
        <v>12.480499219968799</v>
      </c>
      <c r="K24" s="62">
        <v>203.848153926157</v>
      </c>
      <c r="L24" s="63">
        <v>220.4888195527821</v>
      </c>
      <c r="M24" s="59">
        <v>127.0</v>
      </c>
      <c r="N24" s="63">
        <f t="shared" si="3"/>
        <v>386.8954758</v>
      </c>
      <c r="O24" s="63"/>
      <c r="P24" s="63"/>
    </row>
    <row r="25">
      <c r="A25" s="60" t="s">
        <v>186</v>
      </c>
      <c r="B25" s="68" t="s">
        <v>22</v>
      </c>
      <c r="C25" s="62">
        <v>8.771929824561402</v>
      </c>
      <c r="D25" s="62">
        <v>3.654970760233918</v>
      </c>
      <c r="E25" s="63">
        <v>8.771929824561402</v>
      </c>
      <c r="F25" s="62">
        <v>16.81286549707602</v>
      </c>
      <c r="G25" s="63">
        <v>17.543859649122805</v>
      </c>
      <c r="H25" s="62">
        <v>81.87134502923976</v>
      </c>
      <c r="I25" s="63">
        <v>90.64327485380117</v>
      </c>
      <c r="J25" s="62">
        <v>8.771929824561402</v>
      </c>
      <c r="K25" s="62">
        <v>209.0643274853801</v>
      </c>
      <c r="L25" s="63">
        <v>236.1111111111111</v>
      </c>
      <c r="M25" s="59">
        <v>105.0</v>
      </c>
      <c r="N25" s="63">
        <f t="shared" si="3"/>
        <v>370.6140351</v>
      </c>
      <c r="O25" s="63"/>
      <c r="P25" s="63"/>
    </row>
    <row r="26">
      <c r="A26" s="60" t="s">
        <v>186</v>
      </c>
      <c r="B26" s="73" t="s">
        <v>23</v>
      </c>
      <c r="C26" s="62">
        <v>5.660377358490566</v>
      </c>
      <c r="D26" s="62">
        <v>5.660377358490566</v>
      </c>
      <c r="E26" s="63">
        <v>5.660377358490566</v>
      </c>
      <c r="F26" s="62">
        <v>13.20754716981132</v>
      </c>
      <c r="G26" s="63">
        <v>13.20754716981132</v>
      </c>
      <c r="H26" s="62">
        <v>79.24528301886792</v>
      </c>
      <c r="I26" s="63">
        <v>84.90566037735849</v>
      </c>
      <c r="J26" s="62">
        <v>5.660377358490566</v>
      </c>
      <c r="K26" s="62">
        <v>190.56603773584908</v>
      </c>
      <c r="L26" s="63">
        <v>207.54716981132077</v>
      </c>
      <c r="M26" s="59">
        <v>109.0</v>
      </c>
      <c r="N26" s="63">
        <f t="shared" si="3"/>
        <v>322.6415094</v>
      </c>
      <c r="O26" s="63"/>
      <c r="P26" s="63"/>
    </row>
    <row r="27">
      <c r="A27" s="60" t="s">
        <v>186</v>
      </c>
      <c r="B27" s="73" t="s">
        <v>24</v>
      </c>
      <c r="C27" s="62">
        <v>3.7105751391465676</v>
      </c>
      <c r="D27" s="62">
        <v>0.0</v>
      </c>
      <c r="E27" s="63">
        <v>3.7105751391465676</v>
      </c>
      <c r="F27" s="62">
        <v>3.710575139146568</v>
      </c>
      <c r="G27" s="63">
        <v>7.421150278293135</v>
      </c>
      <c r="H27" s="62">
        <v>70.5009276437848</v>
      </c>
      <c r="I27" s="63">
        <v>74.21150278293136</v>
      </c>
      <c r="J27" s="62">
        <v>3.7105751391465676</v>
      </c>
      <c r="K27" s="62">
        <v>187.38404452690173</v>
      </c>
      <c r="L27" s="63">
        <v>198.5157699443414</v>
      </c>
      <c r="M27" s="59">
        <v>135.0</v>
      </c>
      <c r="N27" s="63">
        <f t="shared" si="3"/>
        <v>291.2801484</v>
      </c>
      <c r="O27" s="63"/>
      <c r="P27" s="63"/>
    </row>
    <row r="28">
      <c r="A28" s="60" t="s">
        <v>186</v>
      </c>
      <c r="B28" s="74" t="s">
        <v>25</v>
      </c>
      <c r="C28" s="62">
        <v>5.994358251057828</v>
      </c>
      <c r="D28" s="62">
        <v>3.173483779971791</v>
      </c>
      <c r="E28" s="63">
        <v>5.994358251057828</v>
      </c>
      <c r="F28" s="62">
        <v>10.225669957686883</v>
      </c>
      <c r="G28" s="63">
        <v>11.283497884344147</v>
      </c>
      <c r="H28" s="62">
        <v>66.6431593794076</v>
      </c>
      <c r="I28" s="63">
        <v>68.05359661495064</v>
      </c>
      <c r="J28" s="62">
        <v>4.583921015514809</v>
      </c>
      <c r="K28" s="62">
        <v>187.58815232722145</v>
      </c>
      <c r="L28" s="63">
        <v>193.58251057827925</v>
      </c>
      <c r="M28" s="59">
        <v>135.0</v>
      </c>
      <c r="N28" s="63">
        <f t="shared" si="3"/>
        <v>290.9026798</v>
      </c>
      <c r="O28" s="63"/>
      <c r="P28" s="63"/>
    </row>
    <row r="29">
      <c r="A29" s="60" t="s">
        <v>186</v>
      </c>
      <c r="B29" s="75" t="s">
        <v>26</v>
      </c>
      <c r="C29" s="62">
        <v>2.680965147453083</v>
      </c>
      <c r="D29" s="62">
        <v>2.0107238605898123</v>
      </c>
      <c r="E29" s="63">
        <v>2.680965147453083</v>
      </c>
      <c r="F29" s="62">
        <v>7.372654155495979</v>
      </c>
      <c r="G29" s="63">
        <v>7.372654155495979</v>
      </c>
      <c r="H29" s="62">
        <v>52.27882037533513</v>
      </c>
      <c r="I29" s="63">
        <v>53.61930294906167</v>
      </c>
      <c r="J29" s="62">
        <v>5.361930294906166</v>
      </c>
      <c r="K29" s="62">
        <v>143.43163538873995</v>
      </c>
      <c r="L29" s="63">
        <v>148.12332439678286</v>
      </c>
      <c r="M29" s="59">
        <v>113.0</v>
      </c>
      <c r="N29" s="63">
        <f t="shared" si="3"/>
        <v>217.1581769</v>
      </c>
      <c r="O29" s="63"/>
      <c r="P29" s="63"/>
    </row>
    <row r="30">
      <c r="A30" s="60" t="s">
        <v>186</v>
      </c>
      <c r="B30" s="76" t="s">
        <v>27</v>
      </c>
      <c r="C30" s="62">
        <v>1.1055831951354338</v>
      </c>
      <c r="D30" s="62">
        <v>0.3685277317118113</v>
      </c>
      <c r="E30" s="63">
        <v>1.4741109268472452</v>
      </c>
      <c r="F30" s="62">
        <v>5.159388243965358</v>
      </c>
      <c r="G30" s="63">
        <v>5.159388243965358</v>
      </c>
      <c r="H30" s="62">
        <v>43.11774461028193</v>
      </c>
      <c r="I30" s="63">
        <v>44.59185553712917</v>
      </c>
      <c r="J30" s="62">
        <v>5.896443707388981</v>
      </c>
      <c r="K30" s="62">
        <v>117.92887414777961</v>
      </c>
      <c r="L30" s="63">
        <v>120.50856826976229</v>
      </c>
      <c r="M30" s="59">
        <v>78.0</v>
      </c>
      <c r="N30" s="63">
        <f t="shared" si="3"/>
        <v>174.6821448</v>
      </c>
      <c r="O30" s="63"/>
      <c r="P30" s="63"/>
    </row>
    <row r="31">
      <c r="A31" s="60" t="s">
        <v>186</v>
      </c>
      <c r="B31" s="77" t="s">
        <v>28</v>
      </c>
      <c r="C31" s="62">
        <v>2.5999350016249596</v>
      </c>
      <c r="D31" s="62">
        <v>2.5999350016249596</v>
      </c>
      <c r="E31" s="63">
        <v>2.5999350016249596</v>
      </c>
      <c r="F31" s="62">
        <v>2.5999350016249596</v>
      </c>
      <c r="G31" s="63">
        <v>2.5999350016249596</v>
      </c>
      <c r="H31" s="62">
        <v>42.89892752681183</v>
      </c>
      <c r="I31" s="63">
        <v>44.19889502762431</v>
      </c>
      <c r="J31" s="62">
        <v>0.0</v>
      </c>
      <c r="K31" s="62">
        <v>115.69710757231068</v>
      </c>
      <c r="L31" s="63">
        <v>116.99707507312317</v>
      </c>
      <c r="M31" s="59">
        <v>103.0</v>
      </c>
      <c r="N31" s="63">
        <f t="shared" si="3"/>
        <v>171.5957101</v>
      </c>
      <c r="O31" s="63"/>
      <c r="P31" s="63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5" width="9.0"/>
    <col customWidth="1" min="6" max="6" width="10.88"/>
    <col customWidth="1" min="7" max="8" width="9.0"/>
    <col customWidth="1" min="9" max="9" width="10.13"/>
    <col customWidth="1" min="10" max="10" width="10.25"/>
    <col customWidth="1" min="11" max="11" width="9.63"/>
    <col customWidth="1" min="12" max="12" width="12.75"/>
    <col customWidth="1" min="13" max="13" width="9.0"/>
    <col customWidth="1" min="14" max="14" width="8.88"/>
    <col customWidth="1" min="15" max="15" width="8.5"/>
    <col customWidth="1" min="16" max="16" width="16.0"/>
    <col customWidth="1" min="17" max="19" width="9.0"/>
    <col customWidth="1" min="20" max="22" width="4.75"/>
    <col customWidth="1" min="23" max="23" width="7.75"/>
    <col customWidth="1" min="24" max="24" width="5.88"/>
    <col customWidth="1" min="25" max="27" width="4.75"/>
    <col customWidth="1" min="28" max="28" width="9.0"/>
    <col customWidth="1" min="29" max="29" width="12.25"/>
    <col customWidth="1" min="30" max="30" width="6.0"/>
    <col customWidth="1" min="31" max="31" width="5.25"/>
    <col customWidth="1" min="32" max="32" width="8.63"/>
    <col customWidth="1" min="33" max="33" width="7.38"/>
    <col customWidth="1" min="34" max="34" width="5.75"/>
    <col customWidth="1" min="35" max="37" width="4.75"/>
    <col customWidth="1" min="38" max="38" width="8.38"/>
    <col customWidth="1" min="39" max="41" width="4.75"/>
    <col customWidth="1" min="42" max="42" width="9.0"/>
    <col customWidth="1" min="43" max="43" width="6.63"/>
  </cols>
  <sheetData>
    <row r="1">
      <c r="A1" s="79"/>
      <c r="B1" s="80" t="s">
        <v>7</v>
      </c>
      <c r="C1" s="80" t="s">
        <v>8</v>
      </c>
      <c r="D1" s="81" t="s">
        <v>0</v>
      </c>
      <c r="E1" s="80" t="s">
        <v>2</v>
      </c>
      <c r="F1" s="80" t="s">
        <v>1</v>
      </c>
      <c r="G1" s="80" t="s">
        <v>3</v>
      </c>
      <c r="H1" s="80" t="s">
        <v>10</v>
      </c>
      <c r="I1" s="81" t="s">
        <v>9</v>
      </c>
      <c r="J1" s="80" t="s">
        <v>5</v>
      </c>
      <c r="L1" s="80" t="s">
        <v>4</v>
      </c>
      <c r="M1" s="80" t="s">
        <v>185</v>
      </c>
      <c r="N1" s="80" t="s">
        <v>11</v>
      </c>
      <c r="O1" s="80" t="s">
        <v>12</v>
      </c>
      <c r="P1" s="79"/>
      <c r="Q1" s="79" t="s">
        <v>13</v>
      </c>
      <c r="R1" s="80" t="s">
        <v>15</v>
      </c>
      <c r="S1" s="79" t="s">
        <v>14</v>
      </c>
      <c r="T1" s="79" t="s">
        <v>16</v>
      </c>
      <c r="W1" s="80" t="s">
        <v>17</v>
      </c>
      <c r="X1" s="80" t="s">
        <v>187</v>
      </c>
      <c r="AB1" s="79" t="s">
        <v>19</v>
      </c>
      <c r="AC1" s="82" t="s">
        <v>188</v>
      </c>
      <c r="AD1" s="83" t="s">
        <v>21</v>
      </c>
      <c r="AE1" s="79" t="s">
        <v>22</v>
      </c>
      <c r="AF1" s="79" t="s">
        <v>23</v>
      </c>
      <c r="AG1" s="80" t="s">
        <v>24</v>
      </c>
      <c r="AH1" s="83" t="s">
        <v>25</v>
      </c>
      <c r="AL1" s="83" t="s">
        <v>26</v>
      </c>
      <c r="AP1" s="83" t="s">
        <v>27</v>
      </c>
      <c r="AQ1" s="81" t="s">
        <v>28</v>
      </c>
    </row>
    <row r="2">
      <c r="A2" s="84" t="s">
        <v>189</v>
      </c>
      <c r="B2" s="85" t="s">
        <v>37</v>
      </c>
      <c r="C2" s="85" t="s">
        <v>38</v>
      </c>
      <c r="D2" s="85" t="s">
        <v>30</v>
      </c>
      <c r="E2" s="85" t="s">
        <v>31</v>
      </c>
      <c r="F2" s="85" t="s">
        <v>30</v>
      </c>
      <c r="G2" s="85" t="s">
        <v>32</v>
      </c>
      <c r="H2" s="85" t="s">
        <v>40</v>
      </c>
      <c r="I2" s="85" t="s">
        <v>39</v>
      </c>
      <c r="J2" s="84">
        <v>2023.0</v>
      </c>
      <c r="K2" s="84">
        <v>2022.0</v>
      </c>
      <c r="L2" s="85" t="s">
        <v>33</v>
      </c>
      <c r="M2" s="85" t="s">
        <v>36</v>
      </c>
      <c r="N2" s="85">
        <v>2019.0</v>
      </c>
      <c r="O2" s="85">
        <v>2023.0</v>
      </c>
      <c r="P2" s="84" t="s">
        <v>189</v>
      </c>
      <c r="Q2" s="85" t="s">
        <v>40</v>
      </c>
      <c r="R2" s="85" t="s">
        <v>39</v>
      </c>
      <c r="S2" s="85" t="s">
        <v>40</v>
      </c>
      <c r="T2" s="2">
        <v>2016.0</v>
      </c>
      <c r="U2" s="2">
        <v>2018.0</v>
      </c>
      <c r="V2" s="2">
        <v>2020.0</v>
      </c>
      <c r="W2" s="85">
        <v>2017.0</v>
      </c>
      <c r="X2" s="84">
        <v>2020.0</v>
      </c>
      <c r="Y2" s="84">
        <v>2019.0</v>
      </c>
      <c r="Z2" s="85">
        <v>2018.0</v>
      </c>
      <c r="AA2" s="85">
        <v>2017.0</v>
      </c>
      <c r="AB2" s="85" t="s">
        <v>31</v>
      </c>
      <c r="AC2" s="85">
        <v>2022.0</v>
      </c>
      <c r="AD2" s="86">
        <v>2020.0</v>
      </c>
      <c r="AE2" s="87" t="s">
        <v>31</v>
      </c>
      <c r="AF2" s="85">
        <v>2022.0</v>
      </c>
      <c r="AG2" s="85">
        <v>2017.0</v>
      </c>
      <c r="AH2" s="87">
        <v>2022.0</v>
      </c>
      <c r="AI2" s="86">
        <v>2021.0</v>
      </c>
      <c r="AJ2" s="85">
        <v>2020.0</v>
      </c>
      <c r="AK2" s="85">
        <v>2019.0</v>
      </c>
      <c r="AL2" s="86">
        <v>2020.0</v>
      </c>
      <c r="AM2" s="86">
        <v>2019.0</v>
      </c>
      <c r="AN2" s="86">
        <v>2018.0</v>
      </c>
      <c r="AO2" s="86">
        <v>2017.0</v>
      </c>
      <c r="AP2" s="86" t="s">
        <v>41</v>
      </c>
      <c r="AQ2" s="85">
        <v>2021.0</v>
      </c>
    </row>
    <row r="3">
      <c r="A3" s="3" t="s">
        <v>190</v>
      </c>
      <c r="B3" s="13">
        <v>413.0</v>
      </c>
      <c r="C3" s="88">
        <v>600.0</v>
      </c>
      <c r="D3" s="13">
        <v>475.0</v>
      </c>
      <c r="E3" s="14">
        <v>277.5</v>
      </c>
      <c r="F3" s="13">
        <v>600.0</v>
      </c>
      <c r="G3" s="13">
        <v>536.0</v>
      </c>
      <c r="H3" s="88">
        <v>1719.0</v>
      </c>
      <c r="I3" s="13">
        <v>1125.0</v>
      </c>
      <c r="J3" s="88">
        <v>237.0</v>
      </c>
      <c r="K3" s="88">
        <v>238.0</v>
      </c>
      <c r="L3" s="13">
        <v>558.0</v>
      </c>
      <c r="M3" s="13">
        <v>525.0</v>
      </c>
      <c r="N3" s="14">
        <v>398.0</v>
      </c>
      <c r="O3" s="14">
        <v>246.0</v>
      </c>
      <c r="P3" s="3" t="s">
        <v>190</v>
      </c>
      <c r="Q3" s="88">
        <v>1986.0</v>
      </c>
      <c r="R3" s="88">
        <v>2160.0</v>
      </c>
      <c r="S3" s="88">
        <v>2035.0</v>
      </c>
      <c r="T3" s="2">
        <v>550.0</v>
      </c>
      <c r="U3" s="7">
        <v>535.0</v>
      </c>
      <c r="V3" s="2">
        <v>476.0</v>
      </c>
      <c r="W3" s="88">
        <v>337.0</v>
      </c>
      <c r="X3" s="34">
        <v>817.0</v>
      </c>
      <c r="Y3" s="34">
        <v>763.0</v>
      </c>
      <c r="Z3" s="88">
        <v>738.0</v>
      </c>
      <c r="AA3" s="88">
        <v>633.0</v>
      </c>
      <c r="AB3" s="13">
        <v>1560.0</v>
      </c>
      <c r="AC3" s="13">
        <v>2013.0</v>
      </c>
      <c r="AD3" s="14">
        <v>480.75</v>
      </c>
      <c r="AE3" s="13">
        <v>1368.0</v>
      </c>
      <c r="AF3" s="13">
        <v>530.0</v>
      </c>
      <c r="AG3" s="13">
        <v>539.0</v>
      </c>
      <c r="AH3" s="89">
        <v>769.0</v>
      </c>
      <c r="AI3" s="11">
        <v>735.0</v>
      </c>
      <c r="AJ3" s="88">
        <v>703.0</v>
      </c>
      <c r="AK3" s="88">
        <v>629.0</v>
      </c>
      <c r="AL3" s="11">
        <v>373.0</v>
      </c>
      <c r="AM3" s="11">
        <v>373.0</v>
      </c>
      <c r="AN3" s="11">
        <v>373.0</v>
      </c>
      <c r="AO3" s="11">
        <v>373.0</v>
      </c>
      <c r="AP3" s="11">
        <v>2713.5</v>
      </c>
      <c r="AQ3" s="11">
        <v>769.25</v>
      </c>
    </row>
    <row r="4">
      <c r="A4" s="84" t="s">
        <v>191</v>
      </c>
      <c r="B4" s="85"/>
      <c r="C4" s="85"/>
      <c r="D4" s="90" t="s">
        <v>192</v>
      </c>
      <c r="E4" s="91"/>
      <c r="F4" s="85"/>
      <c r="G4" s="85"/>
      <c r="H4" s="85"/>
      <c r="I4" s="91"/>
      <c r="J4" s="84" t="s">
        <v>193</v>
      </c>
      <c r="K4" s="84" t="s">
        <v>193</v>
      </c>
      <c r="L4" s="85"/>
      <c r="M4" s="85"/>
      <c r="N4" s="85"/>
      <c r="O4" s="85"/>
      <c r="P4" s="84" t="s">
        <v>191</v>
      </c>
      <c r="Q4" s="91"/>
      <c r="R4" s="91"/>
      <c r="S4" s="91"/>
      <c r="T4" s="85" t="s">
        <v>194</v>
      </c>
      <c r="W4" s="91"/>
      <c r="X4" s="84"/>
      <c r="Y4" s="84"/>
      <c r="Z4" s="85"/>
      <c r="AA4" s="85"/>
      <c r="AB4" s="91"/>
      <c r="AC4" s="91"/>
      <c r="AD4" s="92"/>
      <c r="AE4" s="91"/>
      <c r="AF4" s="91"/>
      <c r="AG4" s="91"/>
      <c r="AH4" s="87"/>
      <c r="AI4" s="86"/>
      <c r="AJ4" s="85"/>
      <c r="AK4" s="85"/>
      <c r="AL4" s="92"/>
      <c r="AM4" s="92"/>
      <c r="AN4" s="92"/>
      <c r="AO4" s="92"/>
      <c r="AP4" s="92"/>
      <c r="AQ4" s="91"/>
    </row>
    <row r="5">
      <c r="A5" s="19" t="s">
        <v>43</v>
      </c>
      <c r="B5" s="12">
        <v>8.0</v>
      </c>
      <c r="C5" s="12">
        <v>6.0</v>
      </c>
      <c r="E5" s="12">
        <v>2.0</v>
      </c>
      <c r="F5" s="12">
        <v>7.0</v>
      </c>
      <c r="G5" s="12">
        <v>3.0</v>
      </c>
      <c r="H5" s="12">
        <v>6.0</v>
      </c>
      <c r="I5" s="2">
        <v>1.0</v>
      </c>
      <c r="J5" s="1"/>
      <c r="K5" s="3">
        <v>1.0</v>
      </c>
      <c r="L5" s="12">
        <v>6.0</v>
      </c>
      <c r="M5" s="12"/>
      <c r="P5" s="19" t="s">
        <v>43</v>
      </c>
      <c r="Q5" s="7">
        <v>4.0</v>
      </c>
      <c r="R5" s="12">
        <v>4.0</v>
      </c>
      <c r="S5" s="7">
        <v>5.0</v>
      </c>
      <c r="T5" s="12">
        <v>2.0</v>
      </c>
      <c r="U5" s="7">
        <v>2.0</v>
      </c>
      <c r="V5" s="12">
        <v>1.0</v>
      </c>
      <c r="W5" s="7"/>
      <c r="X5" s="3">
        <v>2.0</v>
      </c>
      <c r="Y5" s="3">
        <v>0.0</v>
      </c>
      <c r="Z5" s="3">
        <v>2.0</v>
      </c>
      <c r="AA5" s="3">
        <v>2.0</v>
      </c>
      <c r="AB5" s="7">
        <v>2.0</v>
      </c>
      <c r="AC5" s="7">
        <v>5.0</v>
      </c>
      <c r="AD5" s="11"/>
      <c r="AE5" s="7">
        <v>3.0</v>
      </c>
      <c r="AF5" s="7">
        <v>0.0</v>
      </c>
      <c r="AG5" s="7"/>
      <c r="AJ5" s="3">
        <v>2.0</v>
      </c>
      <c r="AK5" s="1"/>
      <c r="AL5" s="11"/>
      <c r="AP5" s="10">
        <v>1.0</v>
      </c>
    </row>
    <row r="6">
      <c r="A6" s="19" t="s">
        <v>45</v>
      </c>
      <c r="B6" s="12">
        <v>45.0</v>
      </c>
      <c r="C6" s="12">
        <v>29.0</v>
      </c>
      <c r="D6" s="2">
        <v>10.0</v>
      </c>
      <c r="E6" s="12">
        <v>11.0</v>
      </c>
      <c r="F6" s="12">
        <v>26.0</v>
      </c>
      <c r="G6" s="12">
        <v>16.0</v>
      </c>
      <c r="H6" s="12">
        <v>23.0</v>
      </c>
      <c r="I6" s="2">
        <v>6.0</v>
      </c>
      <c r="J6" s="3">
        <v>3.0</v>
      </c>
      <c r="K6" s="3">
        <v>1.0</v>
      </c>
      <c r="L6" s="12">
        <v>4.0</v>
      </c>
      <c r="M6" s="12">
        <v>6.0</v>
      </c>
      <c r="N6" s="2">
        <v>4.0</v>
      </c>
      <c r="O6" s="2">
        <v>1.0</v>
      </c>
      <c r="P6" s="19" t="s">
        <v>45</v>
      </c>
      <c r="Q6" s="7">
        <v>56.0</v>
      </c>
      <c r="R6" s="12">
        <v>22.0</v>
      </c>
      <c r="S6" s="7">
        <v>28.0</v>
      </c>
      <c r="T6" s="12">
        <v>2.0</v>
      </c>
      <c r="U6" s="7">
        <v>3.0</v>
      </c>
      <c r="V6" s="12">
        <v>2.0</v>
      </c>
      <c r="W6" s="12">
        <v>3.0</v>
      </c>
      <c r="X6" s="3">
        <v>2.0</v>
      </c>
      <c r="Y6" s="3">
        <v>1.0</v>
      </c>
      <c r="Z6" s="2">
        <v>3.0</v>
      </c>
      <c r="AA6" s="3">
        <v>3.0</v>
      </c>
      <c r="AB6" s="7">
        <v>13.0</v>
      </c>
      <c r="AC6" s="7">
        <v>25.0</v>
      </c>
      <c r="AD6" s="10">
        <v>2.0</v>
      </c>
      <c r="AE6" s="7">
        <v>5.0</v>
      </c>
      <c r="AF6" s="7">
        <v>3.0</v>
      </c>
      <c r="AG6" s="7"/>
      <c r="AH6" s="2">
        <v>2.0</v>
      </c>
      <c r="AI6" s="2">
        <v>2.0</v>
      </c>
      <c r="AJ6" s="3">
        <v>2.0</v>
      </c>
      <c r="AK6" s="3">
        <v>3.0</v>
      </c>
      <c r="AL6" s="10">
        <v>1.0</v>
      </c>
      <c r="AM6" s="1"/>
      <c r="AN6" s="3">
        <v>2.0</v>
      </c>
      <c r="AO6" s="1"/>
      <c r="AP6" s="10">
        <v>1.0</v>
      </c>
      <c r="AQ6" s="2">
        <v>2.0</v>
      </c>
    </row>
    <row r="7">
      <c r="A7" s="19" t="s">
        <v>46</v>
      </c>
      <c r="B7" s="12">
        <v>6.0</v>
      </c>
      <c r="C7" s="12">
        <v>12.0</v>
      </c>
      <c r="E7" s="12">
        <v>1.0</v>
      </c>
      <c r="F7" s="12">
        <v>1.0</v>
      </c>
      <c r="G7" s="12">
        <v>2.0</v>
      </c>
      <c r="H7" s="12">
        <v>3.0</v>
      </c>
      <c r="I7" s="2">
        <v>3.0</v>
      </c>
      <c r="J7" s="1"/>
      <c r="K7" s="1"/>
      <c r="L7" s="12">
        <v>5.0</v>
      </c>
      <c r="M7" s="12">
        <v>1.0</v>
      </c>
      <c r="P7" s="19" t="s">
        <v>46</v>
      </c>
      <c r="Q7" s="7">
        <v>15.0</v>
      </c>
      <c r="R7" s="12">
        <v>21.0</v>
      </c>
      <c r="S7" s="7">
        <v>10.0</v>
      </c>
      <c r="T7" s="12">
        <v>5.0</v>
      </c>
      <c r="U7" s="7">
        <v>2.0</v>
      </c>
      <c r="V7" s="12">
        <v>4.0</v>
      </c>
      <c r="W7" s="7"/>
      <c r="X7" s="3">
        <v>3.0</v>
      </c>
      <c r="Y7" s="3">
        <v>5.0</v>
      </c>
      <c r="Z7" s="3">
        <v>4.0</v>
      </c>
      <c r="AA7" s="3">
        <v>0.0</v>
      </c>
      <c r="AB7" s="7">
        <v>9.0</v>
      </c>
      <c r="AC7" s="7">
        <v>6.0</v>
      </c>
      <c r="AD7" s="10">
        <v>1.0</v>
      </c>
      <c r="AE7" s="7">
        <v>3.0</v>
      </c>
      <c r="AF7" s="7">
        <v>0.0</v>
      </c>
      <c r="AG7" s="7"/>
      <c r="AH7" s="2">
        <v>1.0</v>
      </c>
      <c r="AJ7" s="1"/>
      <c r="AK7" s="3">
        <v>1.0</v>
      </c>
      <c r="AL7" s="11"/>
      <c r="AM7" s="1"/>
      <c r="AN7" s="1"/>
      <c r="AO7" s="1"/>
      <c r="AP7" s="10"/>
    </row>
    <row r="8">
      <c r="A8" s="19" t="s">
        <v>47</v>
      </c>
      <c r="B8" s="12">
        <v>6.0</v>
      </c>
      <c r="C8" s="12">
        <v>11.0</v>
      </c>
      <c r="D8" s="2">
        <v>8.0</v>
      </c>
      <c r="E8" s="12">
        <v>3.0</v>
      </c>
      <c r="F8" s="12">
        <v>10.0</v>
      </c>
      <c r="G8" s="12">
        <v>13.0</v>
      </c>
      <c r="H8" s="12">
        <v>5.0</v>
      </c>
      <c r="I8" s="2">
        <v>2.0</v>
      </c>
      <c r="J8" s="3">
        <v>3.0</v>
      </c>
      <c r="K8" s="1"/>
      <c r="L8" s="12">
        <v>1.0</v>
      </c>
      <c r="M8" s="12">
        <v>5.0</v>
      </c>
      <c r="N8" s="2">
        <v>1.0</v>
      </c>
      <c r="P8" s="19" t="s">
        <v>47</v>
      </c>
      <c r="Q8" s="7">
        <v>2.0</v>
      </c>
      <c r="R8" s="12">
        <v>2.0</v>
      </c>
      <c r="S8" s="7">
        <v>6.0</v>
      </c>
      <c r="T8" s="7"/>
      <c r="U8" s="7"/>
      <c r="V8" s="7"/>
      <c r="W8" s="12">
        <v>3.0</v>
      </c>
      <c r="X8" s="3">
        <v>1.0</v>
      </c>
      <c r="Y8" s="3">
        <v>0.0</v>
      </c>
      <c r="Z8" s="3">
        <v>2.0</v>
      </c>
      <c r="AA8" s="3">
        <v>2.0</v>
      </c>
      <c r="AB8" s="7">
        <v>2.0</v>
      </c>
      <c r="AC8" s="7">
        <v>1.0</v>
      </c>
      <c r="AD8" s="11"/>
      <c r="AE8" s="7">
        <v>1.0</v>
      </c>
      <c r="AF8" s="7">
        <v>0.0</v>
      </c>
      <c r="AG8" s="12">
        <v>2.0</v>
      </c>
      <c r="AH8" s="2">
        <v>1.0</v>
      </c>
      <c r="AJ8" s="1"/>
      <c r="AK8" s="3">
        <v>2.0</v>
      </c>
      <c r="AL8" s="11"/>
      <c r="AM8" s="1"/>
      <c r="AN8" s="3">
        <v>1.0</v>
      </c>
      <c r="AO8" s="1"/>
      <c r="AP8" s="11"/>
    </row>
    <row r="9">
      <c r="A9" s="23" t="s">
        <v>48</v>
      </c>
      <c r="B9" s="7"/>
      <c r="C9" s="7"/>
      <c r="E9" s="7"/>
      <c r="F9" s="7"/>
      <c r="G9" s="7"/>
      <c r="H9" s="7"/>
      <c r="J9" s="1"/>
      <c r="K9" s="1"/>
      <c r="L9" s="7"/>
      <c r="M9" s="7"/>
      <c r="O9" s="2">
        <v>1.0</v>
      </c>
      <c r="P9" s="23" t="s">
        <v>48</v>
      </c>
      <c r="Q9" s="7">
        <v>1.0</v>
      </c>
      <c r="R9" s="3">
        <v>1.0</v>
      </c>
      <c r="S9" s="7">
        <v>2.0</v>
      </c>
      <c r="T9" s="1"/>
      <c r="U9" s="1"/>
      <c r="V9" s="7"/>
      <c r="W9" s="7"/>
      <c r="X9" s="1"/>
      <c r="Y9" s="1"/>
      <c r="Z9" s="1"/>
      <c r="AA9" s="3">
        <v>1.0</v>
      </c>
      <c r="AB9" s="7">
        <v>0.0</v>
      </c>
      <c r="AC9" s="7">
        <v>0.0</v>
      </c>
      <c r="AD9" s="15"/>
      <c r="AE9" s="7">
        <v>0.0</v>
      </c>
      <c r="AF9" s="7">
        <v>0.0</v>
      </c>
      <c r="AG9" s="7"/>
      <c r="AJ9" s="3">
        <v>1.0</v>
      </c>
      <c r="AK9" s="1"/>
      <c r="AL9" s="15"/>
      <c r="AM9" s="1"/>
      <c r="AN9" s="1"/>
      <c r="AO9" s="1"/>
      <c r="AP9" s="6">
        <v>1.0</v>
      </c>
    </row>
    <row r="10">
      <c r="A10" s="19" t="s">
        <v>49</v>
      </c>
      <c r="B10" s="12">
        <v>8.0</v>
      </c>
      <c r="C10" s="12">
        <v>5.0</v>
      </c>
      <c r="D10" s="2">
        <v>4.0</v>
      </c>
      <c r="E10" s="12">
        <v>2.0</v>
      </c>
      <c r="F10" s="12">
        <v>6.0</v>
      </c>
      <c r="G10" s="12">
        <v>5.0</v>
      </c>
      <c r="H10" s="12">
        <v>5.0</v>
      </c>
      <c r="I10" s="2">
        <v>6.0</v>
      </c>
      <c r="J10" s="1"/>
      <c r="K10" s="1"/>
      <c r="L10" s="12">
        <v>1.0</v>
      </c>
      <c r="M10" s="12"/>
      <c r="P10" s="19" t="s">
        <v>49</v>
      </c>
      <c r="Q10" s="7">
        <v>5.0</v>
      </c>
      <c r="R10" s="12">
        <v>3.0</v>
      </c>
      <c r="S10" s="7">
        <v>8.0</v>
      </c>
      <c r="T10" s="7"/>
      <c r="U10" s="7">
        <v>1.0</v>
      </c>
      <c r="V10" s="7"/>
      <c r="W10" s="12">
        <v>2.0</v>
      </c>
      <c r="X10" s="3">
        <v>1.0</v>
      </c>
      <c r="Y10" s="2">
        <v>1.0</v>
      </c>
      <c r="Z10" s="3">
        <v>0.0</v>
      </c>
      <c r="AA10" s="12">
        <v>1.0</v>
      </c>
      <c r="AB10" s="7">
        <v>4.0</v>
      </c>
      <c r="AC10" s="7">
        <v>3.0</v>
      </c>
      <c r="AD10" s="11"/>
      <c r="AE10" s="7">
        <v>0.0</v>
      </c>
      <c r="AF10" s="7">
        <v>0.0</v>
      </c>
      <c r="AG10" s="7"/>
      <c r="AJ10" s="1"/>
      <c r="AK10" s="1"/>
      <c r="AL10" s="11"/>
      <c r="AM10" s="7"/>
      <c r="AN10" s="7"/>
      <c r="AO10" s="7"/>
      <c r="AP10" s="10">
        <v>1.0</v>
      </c>
    </row>
    <row r="11">
      <c r="A11" s="25" t="s">
        <v>50</v>
      </c>
      <c r="B11" s="12">
        <v>1.0</v>
      </c>
      <c r="C11" s="7"/>
      <c r="E11" s="7"/>
      <c r="F11" s="7"/>
      <c r="G11" s="7"/>
      <c r="H11" s="7"/>
      <c r="J11" s="1"/>
      <c r="K11" s="1"/>
      <c r="L11" s="12">
        <v>1.0</v>
      </c>
      <c r="M11" s="12"/>
      <c r="P11" s="25" t="s">
        <v>50</v>
      </c>
      <c r="Q11" s="7">
        <v>2.0</v>
      </c>
      <c r="R11" s="1"/>
      <c r="S11" s="7">
        <v>0.0</v>
      </c>
      <c r="T11" s="1"/>
      <c r="U11" s="1"/>
      <c r="V11" s="7"/>
      <c r="W11" s="7"/>
      <c r="X11" s="1"/>
      <c r="Y11" s="1"/>
      <c r="Z11" s="1"/>
      <c r="AA11" s="1"/>
      <c r="AB11" s="7">
        <v>0.0</v>
      </c>
      <c r="AC11" s="7">
        <v>0.0</v>
      </c>
      <c r="AD11" s="15"/>
      <c r="AE11" s="7">
        <v>0.0</v>
      </c>
      <c r="AF11" s="7">
        <v>0.0</v>
      </c>
      <c r="AG11" s="12">
        <v>1.0</v>
      </c>
      <c r="AJ11" s="1"/>
      <c r="AK11" s="1"/>
      <c r="AL11" s="15"/>
      <c r="AM11" s="1"/>
      <c r="AN11" s="1"/>
      <c r="AO11" s="1"/>
      <c r="AP11" s="15"/>
    </row>
    <row r="12">
      <c r="A12" s="25" t="s">
        <v>52</v>
      </c>
      <c r="B12" s="1"/>
      <c r="C12" s="1"/>
      <c r="E12" s="1"/>
      <c r="F12" s="1"/>
      <c r="G12" s="1"/>
      <c r="H12" s="3">
        <v>1.0</v>
      </c>
      <c r="J12" s="1"/>
      <c r="K12" s="1"/>
      <c r="L12" s="1"/>
      <c r="M12" s="1"/>
      <c r="P12" s="25" t="s">
        <v>52</v>
      </c>
      <c r="Q12" s="1"/>
      <c r="R12" s="1"/>
      <c r="S12" s="1"/>
      <c r="T12" s="1"/>
      <c r="U12" s="1"/>
      <c r="V12" s="7"/>
      <c r="W12" s="7"/>
      <c r="X12" s="1"/>
      <c r="Y12" s="1"/>
      <c r="Z12" s="1"/>
      <c r="AA12" s="1"/>
      <c r="AB12" s="7">
        <v>1.0</v>
      </c>
      <c r="AC12" s="7">
        <v>0.0</v>
      </c>
      <c r="AD12" s="15"/>
      <c r="AE12" s="7">
        <v>0.0</v>
      </c>
      <c r="AF12" s="7">
        <v>0.0</v>
      </c>
      <c r="AG12" s="7"/>
      <c r="AJ12" s="1"/>
      <c r="AK12" s="1"/>
      <c r="AL12" s="15"/>
      <c r="AM12" s="1"/>
      <c r="AN12" s="1"/>
      <c r="AO12" s="1"/>
      <c r="AP12" s="15"/>
    </row>
    <row r="13">
      <c r="A13" s="25" t="s">
        <v>53</v>
      </c>
      <c r="B13" s="12">
        <v>7.0</v>
      </c>
      <c r="C13" s="12">
        <v>12.0</v>
      </c>
      <c r="E13" s="12">
        <v>2.0</v>
      </c>
      <c r="F13" s="12">
        <v>9.0</v>
      </c>
      <c r="G13" s="12">
        <v>3.0</v>
      </c>
      <c r="H13" s="12">
        <v>5.0</v>
      </c>
      <c r="I13" s="2">
        <v>3.0</v>
      </c>
      <c r="J13" s="1"/>
      <c r="K13" s="3">
        <v>1.0</v>
      </c>
      <c r="L13" s="12">
        <v>2.0</v>
      </c>
      <c r="M13" s="12">
        <v>3.0</v>
      </c>
      <c r="P13" s="25" t="s">
        <v>53</v>
      </c>
      <c r="Q13" s="7">
        <v>11.0</v>
      </c>
      <c r="R13" s="12">
        <v>7.0</v>
      </c>
      <c r="S13" s="7">
        <v>9.0</v>
      </c>
      <c r="T13" s="12">
        <v>1.0</v>
      </c>
      <c r="U13" s="7">
        <v>1.0</v>
      </c>
      <c r="V13" s="12">
        <v>1.0</v>
      </c>
      <c r="W13" s="12">
        <v>1.0</v>
      </c>
      <c r="X13" s="3">
        <v>1.0</v>
      </c>
      <c r="Y13" s="3">
        <v>3.0</v>
      </c>
      <c r="Z13" s="3">
        <v>3.0</v>
      </c>
      <c r="AA13" s="3">
        <v>1.0</v>
      </c>
      <c r="AB13" s="7">
        <v>1.0</v>
      </c>
      <c r="AC13" s="7">
        <v>4.0</v>
      </c>
      <c r="AD13" s="10"/>
      <c r="AE13" s="7">
        <v>1.0</v>
      </c>
      <c r="AF13" s="7">
        <v>1.0</v>
      </c>
      <c r="AG13" s="7"/>
      <c r="AJ13" s="1"/>
      <c r="AK13" s="1"/>
      <c r="AL13" s="10"/>
      <c r="AM13" s="3">
        <v>1.0</v>
      </c>
      <c r="AN13" s="1"/>
      <c r="AO13" s="1"/>
      <c r="AP13" s="10">
        <v>4.0</v>
      </c>
    </row>
    <row r="14">
      <c r="A14" s="25" t="s">
        <v>54</v>
      </c>
      <c r="B14" s="12">
        <v>7.0</v>
      </c>
      <c r="C14" s="12">
        <v>8.0</v>
      </c>
      <c r="D14" s="2">
        <v>8.0</v>
      </c>
      <c r="E14" s="12">
        <v>5.0</v>
      </c>
      <c r="F14" s="12">
        <v>8.0</v>
      </c>
      <c r="G14" s="12">
        <v>6.0</v>
      </c>
      <c r="H14" s="12">
        <v>6.0</v>
      </c>
      <c r="I14" s="2">
        <v>8.0</v>
      </c>
      <c r="J14" s="3">
        <v>3.0</v>
      </c>
      <c r="K14" s="3">
        <v>2.0</v>
      </c>
      <c r="L14" s="12">
        <v>7.0</v>
      </c>
      <c r="M14" s="12">
        <v>5.0</v>
      </c>
      <c r="N14" s="2">
        <v>1.0</v>
      </c>
      <c r="P14" s="25" t="s">
        <v>54</v>
      </c>
      <c r="Q14" s="7">
        <v>12.0</v>
      </c>
      <c r="R14" s="12">
        <v>20.0</v>
      </c>
      <c r="S14" s="7">
        <v>10.0</v>
      </c>
      <c r="T14" s="12">
        <v>3.0</v>
      </c>
      <c r="U14" s="7">
        <v>2.0</v>
      </c>
      <c r="V14" s="12">
        <v>3.0</v>
      </c>
      <c r="W14" s="12">
        <v>2.0</v>
      </c>
      <c r="X14" s="3">
        <v>3.0</v>
      </c>
      <c r="Y14" s="3">
        <v>3.0</v>
      </c>
      <c r="Z14" s="3">
        <v>2.0</v>
      </c>
      <c r="AA14" s="3">
        <v>2.0</v>
      </c>
      <c r="AB14" s="7">
        <v>4.0</v>
      </c>
      <c r="AC14" s="7">
        <v>5.0</v>
      </c>
      <c r="AD14" s="10">
        <v>2.0</v>
      </c>
      <c r="AE14" s="7">
        <v>6.0</v>
      </c>
      <c r="AF14" s="7">
        <v>0.0</v>
      </c>
      <c r="AG14" s="7"/>
      <c r="AH14" s="2">
        <v>1.0</v>
      </c>
      <c r="AI14" s="2">
        <v>1.0</v>
      </c>
      <c r="AJ14" s="3">
        <v>1.0</v>
      </c>
      <c r="AK14" s="3">
        <v>1.0</v>
      </c>
      <c r="AL14" s="11"/>
      <c r="AM14" s="1"/>
      <c r="AN14" s="1"/>
      <c r="AO14" s="1"/>
      <c r="AP14" s="10">
        <v>3.0</v>
      </c>
    </row>
    <row r="15">
      <c r="A15" s="25" t="s">
        <v>55</v>
      </c>
      <c r="B15" s="12">
        <v>2.0</v>
      </c>
      <c r="C15" s="12">
        <v>6.0</v>
      </c>
      <c r="E15" s="7"/>
      <c r="F15" s="12">
        <v>1.0</v>
      </c>
      <c r="G15" s="12">
        <v>1.0</v>
      </c>
      <c r="H15" s="7"/>
      <c r="J15" s="1"/>
      <c r="K15" s="3">
        <v>1.0</v>
      </c>
      <c r="L15" s="12"/>
      <c r="M15" s="12"/>
      <c r="N15" s="2">
        <v>1.0</v>
      </c>
      <c r="P15" s="25" t="s">
        <v>55</v>
      </c>
      <c r="Q15" s="7">
        <v>2.0</v>
      </c>
      <c r="R15" s="12">
        <v>5.0</v>
      </c>
      <c r="S15" s="7">
        <v>4.0</v>
      </c>
      <c r="T15" s="7"/>
      <c r="U15" s="7">
        <v>1.0</v>
      </c>
      <c r="V15" s="7"/>
      <c r="W15" s="7"/>
      <c r="X15" s="3">
        <v>0.0</v>
      </c>
      <c r="Y15" s="3">
        <v>0.0</v>
      </c>
      <c r="Z15" s="3">
        <v>0.0</v>
      </c>
      <c r="AA15" s="3">
        <v>5.0</v>
      </c>
      <c r="AB15" s="7">
        <v>0.0</v>
      </c>
      <c r="AC15" s="7">
        <v>0.0</v>
      </c>
      <c r="AD15" s="11"/>
      <c r="AE15" s="7">
        <v>0.0</v>
      </c>
      <c r="AF15" s="7">
        <v>0.0</v>
      </c>
      <c r="AG15" s="7"/>
      <c r="AJ15" s="3">
        <v>1.0</v>
      </c>
      <c r="AK15" s="2">
        <v>1.0</v>
      </c>
      <c r="AL15" s="11"/>
      <c r="AM15" s="1"/>
      <c r="AN15" s="1"/>
      <c r="AO15" s="1"/>
      <c r="AP15" s="11"/>
    </row>
    <row r="16">
      <c r="A16" s="25" t="s">
        <v>56</v>
      </c>
      <c r="B16" s="12">
        <v>5.0</v>
      </c>
      <c r="C16" s="12">
        <v>9.0</v>
      </c>
      <c r="D16" s="2">
        <v>6.0</v>
      </c>
      <c r="E16" s="12">
        <v>5.0</v>
      </c>
      <c r="F16" s="12">
        <v>7.0</v>
      </c>
      <c r="G16" s="12">
        <v>3.0</v>
      </c>
      <c r="H16" s="12">
        <v>12.0</v>
      </c>
      <c r="I16" s="2">
        <v>4.0</v>
      </c>
      <c r="J16" s="3">
        <v>1.0</v>
      </c>
      <c r="K16" s="1"/>
      <c r="L16" s="12">
        <v>2.0</v>
      </c>
      <c r="M16" s="12">
        <v>1.0</v>
      </c>
      <c r="N16" s="2">
        <v>1.0</v>
      </c>
      <c r="P16" s="25" t="s">
        <v>56</v>
      </c>
      <c r="Q16" s="7">
        <v>9.0</v>
      </c>
      <c r="R16" s="12">
        <v>3.0</v>
      </c>
      <c r="S16" s="7">
        <v>8.0</v>
      </c>
      <c r="T16" s="7"/>
      <c r="U16" s="7">
        <v>1.0</v>
      </c>
      <c r="V16" s="7"/>
      <c r="W16" s="12">
        <v>1.0</v>
      </c>
      <c r="X16" s="3">
        <v>3.0</v>
      </c>
      <c r="Y16" s="3">
        <v>1.0</v>
      </c>
      <c r="Z16" s="3">
        <v>1.0</v>
      </c>
      <c r="AA16" s="3">
        <v>0.0</v>
      </c>
      <c r="AB16" s="7">
        <v>6.0</v>
      </c>
      <c r="AC16" s="7">
        <v>6.0</v>
      </c>
      <c r="AD16" s="10">
        <v>1.0</v>
      </c>
      <c r="AE16" s="7">
        <v>2.0</v>
      </c>
      <c r="AF16" s="7">
        <v>0.0</v>
      </c>
      <c r="AG16" s="7"/>
      <c r="AJ16" s="1"/>
      <c r="AK16" s="1"/>
      <c r="AL16" s="11"/>
      <c r="AM16" s="1"/>
      <c r="AN16" s="1"/>
      <c r="AO16" s="3">
        <v>1.0</v>
      </c>
      <c r="AP16" s="11"/>
    </row>
    <row r="17">
      <c r="A17" s="25" t="s">
        <v>57</v>
      </c>
      <c r="B17" s="12">
        <v>11.0</v>
      </c>
      <c r="C17" s="12">
        <v>4.0</v>
      </c>
      <c r="D17" s="2">
        <v>10.0</v>
      </c>
      <c r="E17" s="12">
        <v>9.0</v>
      </c>
      <c r="F17" s="12">
        <v>12.0</v>
      </c>
      <c r="G17" s="12">
        <v>10.0</v>
      </c>
      <c r="H17" s="12">
        <v>7.0</v>
      </c>
      <c r="I17" s="2">
        <v>12.0</v>
      </c>
      <c r="J17" s="3">
        <v>1.0</v>
      </c>
      <c r="K17" s="3">
        <v>1.0</v>
      </c>
      <c r="L17" s="12">
        <v>2.0</v>
      </c>
      <c r="M17" s="12">
        <v>5.0</v>
      </c>
      <c r="P17" s="25" t="s">
        <v>57</v>
      </c>
      <c r="Q17" s="7">
        <v>7.0</v>
      </c>
      <c r="R17" s="12">
        <v>2.0</v>
      </c>
      <c r="S17" s="7">
        <v>15.0</v>
      </c>
      <c r="T17" s="7"/>
      <c r="U17" s="7"/>
      <c r="V17" s="7"/>
      <c r="W17" s="7"/>
      <c r="X17" s="3">
        <v>4.0</v>
      </c>
      <c r="Y17" s="3">
        <v>1.0</v>
      </c>
      <c r="Z17" s="3">
        <v>0.0</v>
      </c>
      <c r="AA17" s="3">
        <v>1.0</v>
      </c>
      <c r="AB17" s="7">
        <v>5.0</v>
      </c>
      <c r="AC17" s="7">
        <v>8.0</v>
      </c>
      <c r="AD17" s="10">
        <v>2.0</v>
      </c>
      <c r="AE17" s="7">
        <v>0.0</v>
      </c>
      <c r="AF17" s="7">
        <v>0.0</v>
      </c>
      <c r="AG17" s="7"/>
      <c r="AJ17" s="1"/>
      <c r="AK17" s="3">
        <v>3.0</v>
      </c>
      <c r="AL17" s="11"/>
      <c r="AM17" s="3">
        <v>1.0</v>
      </c>
      <c r="AN17" s="1"/>
      <c r="AO17" s="1"/>
      <c r="AP17" s="10">
        <v>2.0</v>
      </c>
    </row>
    <row r="18">
      <c r="A18" s="25" t="s">
        <v>58</v>
      </c>
      <c r="B18" s="12">
        <v>28.0</v>
      </c>
      <c r="C18" s="12">
        <v>10.0</v>
      </c>
      <c r="D18" s="2">
        <v>24.0</v>
      </c>
      <c r="E18" s="12">
        <v>6.0</v>
      </c>
      <c r="F18" s="12">
        <v>27.0</v>
      </c>
      <c r="G18" s="12">
        <v>2.0</v>
      </c>
      <c r="H18" s="12">
        <v>10.0</v>
      </c>
      <c r="I18" s="2">
        <v>8.0</v>
      </c>
      <c r="J18" s="3">
        <v>1.0</v>
      </c>
      <c r="K18" s="1"/>
      <c r="L18" s="12">
        <v>13.0</v>
      </c>
      <c r="M18" s="12">
        <v>4.0</v>
      </c>
      <c r="P18" s="25" t="s">
        <v>58</v>
      </c>
      <c r="Q18" s="7">
        <v>17.0</v>
      </c>
      <c r="R18" s="12">
        <v>11.0</v>
      </c>
      <c r="S18" s="7">
        <v>19.0</v>
      </c>
      <c r="T18" s="7"/>
      <c r="U18" s="7">
        <v>1.0</v>
      </c>
      <c r="V18" s="12">
        <v>1.0</v>
      </c>
      <c r="W18" s="12">
        <v>1.0</v>
      </c>
      <c r="X18" s="3">
        <v>7.0</v>
      </c>
      <c r="Y18" s="3">
        <v>6.0</v>
      </c>
      <c r="Z18" s="3">
        <v>7.0</v>
      </c>
      <c r="AA18" s="3">
        <v>3.0</v>
      </c>
      <c r="AB18" s="7">
        <v>5.0</v>
      </c>
      <c r="AC18" s="7">
        <v>3.0</v>
      </c>
      <c r="AD18" s="10"/>
      <c r="AE18" s="7">
        <v>1.0</v>
      </c>
      <c r="AF18" s="7">
        <v>1.0</v>
      </c>
      <c r="AG18" s="7"/>
      <c r="AI18" s="2">
        <v>2.0</v>
      </c>
      <c r="AJ18" s="1"/>
      <c r="AK18" s="1"/>
      <c r="AL18" s="10"/>
      <c r="AM18" s="1"/>
      <c r="AN18" s="1"/>
      <c r="AO18" s="1"/>
      <c r="AP18" s="10"/>
    </row>
    <row r="19">
      <c r="A19" s="27" t="s">
        <v>59</v>
      </c>
      <c r="B19" s="7"/>
      <c r="C19" s="7"/>
      <c r="E19" s="7"/>
      <c r="F19" s="7"/>
      <c r="G19" s="7"/>
      <c r="H19" s="12">
        <v>2.0</v>
      </c>
      <c r="J19" s="1"/>
      <c r="K19" s="1"/>
      <c r="L19" s="7"/>
      <c r="M19" s="7"/>
      <c r="P19" s="27" t="s">
        <v>59</v>
      </c>
      <c r="Q19" s="7">
        <v>0.0</v>
      </c>
      <c r="R19" s="1"/>
      <c r="S19" s="7">
        <v>3.0</v>
      </c>
      <c r="T19" s="1"/>
      <c r="U19" s="1"/>
      <c r="V19" s="1"/>
      <c r="W19" s="7"/>
      <c r="X19" s="1"/>
      <c r="Y19" s="1"/>
      <c r="Z19" s="1"/>
      <c r="AA19" s="1"/>
      <c r="AB19" s="7">
        <v>0.0</v>
      </c>
      <c r="AC19" s="7">
        <v>0.0</v>
      </c>
      <c r="AD19" s="6">
        <v>1.0</v>
      </c>
      <c r="AE19" s="7">
        <v>1.0</v>
      </c>
      <c r="AF19" s="7">
        <v>0.0</v>
      </c>
      <c r="AG19" s="12">
        <v>1.0</v>
      </c>
      <c r="AH19" s="2">
        <v>1.0</v>
      </c>
      <c r="AI19" s="2">
        <v>1.0</v>
      </c>
      <c r="AJ19" s="3">
        <v>1.0</v>
      </c>
      <c r="AK19" s="1"/>
      <c r="AL19" s="15"/>
      <c r="AM19" s="1"/>
      <c r="AN19" s="1"/>
      <c r="AO19" s="1"/>
      <c r="AP19" s="15"/>
    </row>
    <row r="20">
      <c r="A20" s="28" t="s">
        <v>61</v>
      </c>
      <c r="B20" s="12">
        <v>3.0</v>
      </c>
      <c r="C20" s="12">
        <v>2.0</v>
      </c>
      <c r="D20" s="2">
        <v>4.0</v>
      </c>
      <c r="E20" s="12">
        <v>2.0</v>
      </c>
      <c r="F20" s="12">
        <v>5.0</v>
      </c>
      <c r="G20" s="12">
        <v>9.0</v>
      </c>
      <c r="H20" s="12">
        <v>6.0</v>
      </c>
      <c r="I20" s="2">
        <v>5.0</v>
      </c>
      <c r="J20" s="1"/>
      <c r="K20" s="1"/>
      <c r="L20" s="12">
        <v>1.0</v>
      </c>
      <c r="M20" s="12">
        <v>5.0</v>
      </c>
      <c r="P20" s="28" t="s">
        <v>61</v>
      </c>
      <c r="Q20" s="7">
        <v>2.0</v>
      </c>
      <c r="R20" s="3">
        <v>6.0</v>
      </c>
      <c r="S20" s="7">
        <v>1.0</v>
      </c>
      <c r="T20" s="1"/>
      <c r="U20" s="1"/>
      <c r="V20" s="1"/>
      <c r="W20" s="7"/>
      <c r="AB20" s="7">
        <v>2.0</v>
      </c>
      <c r="AC20" s="7">
        <v>2.0</v>
      </c>
      <c r="AD20" s="6">
        <v>1.0</v>
      </c>
      <c r="AE20" s="7">
        <v>0.0</v>
      </c>
      <c r="AF20" s="7">
        <v>0.0</v>
      </c>
      <c r="AG20" s="7"/>
      <c r="AJ20" s="1"/>
      <c r="AK20" s="1"/>
      <c r="AL20" s="6">
        <v>1.0</v>
      </c>
      <c r="AM20" s="20">
        <v>1.0</v>
      </c>
      <c r="AN20" s="29"/>
      <c r="AO20" s="29"/>
      <c r="AP20" s="15"/>
    </row>
    <row r="21">
      <c r="A21" s="33" t="s">
        <v>62</v>
      </c>
      <c r="B21" s="12">
        <v>4.0</v>
      </c>
      <c r="C21" s="12">
        <v>4.0</v>
      </c>
      <c r="D21" s="2">
        <v>9.0</v>
      </c>
      <c r="E21" s="12">
        <v>4.0</v>
      </c>
      <c r="F21" s="12">
        <v>6.0</v>
      </c>
      <c r="G21" s="12">
        <v>5.0</v>
      </c>
      <c r="H21" s="12">
        <v>9.0</v>
      </c>
      <c r="I21" s="2">
        <v>2.0</v>
      </c>
      <c r="J21" s="3">
        <v>2.0</v>
      </c>
      <c r="K21" s="3">
        <v>1.0</v>
      </c>
      <c r="L21" s="12">
        <v>2.0</v>
      </c>
      <c r="M21" s="12">
        <v>3.0</v>
      </c>
      <c r="N21" s="2">
        <v>1.0</v>
      </c>
      <c r="P21" s="33" t="s">
        <v>62</v>
      </c>
      <c r="Q21" s="7">
        <v>4.0</v>
      </c>
      <c r="R21" s="12">
        <v>1.0</v>
      </c>
      <c r="S21" s="7">
        <v>5.0</v>
      </c>
      <c r="T21" s="7"/>
      <c r="U21" s="7">
        <v>2.0</v>
      </c>
      <c r="V21" s="7"/>
      <c r="W21" s="7"/>
      <c r="X21" s="1"/>
      <c r="Z21" s="1"/>
      <c r="AA21" s="7"/>
      <c r="AB21" s="7">
        <v>6.0</v>
      </c>
      <c r="AC21" s="7">
        <v>2.0</v>
      </c>
      <c r="AD21" s="2"/>
      <c r="AE21" s="7">
        <v>1.0</v>
      </c>
      <c r="AF21" s="7">
        <v>2.0</v>
      </c>
      <c r="AG21" s="7"/>
      <c r="AJ21" s="1"/>
      <c r="AK21" s="3">
        <v>1.0</v>
      </c>
      <c r="AL21" s="2"/>
      <c r="AM21" s="7"/>
      <c r="AN21" s="12">
        <v>2.0</v>
      </c>
      <c r="AO21" s="7"/>
      <c r="AP21" s="2">
        <v>1.0</v>
      </c>
    </row>
    <row r="22">
      <c r="A22" s="28" t="s">
        <v>63</v>
      </c>
      <c r="B22" s="7"/>
      <c r="C22" s="7"/>
      <c r="E22" s="7"/>
      <c r="F22" s="7"/>
      <c r="G22" s="7"/>
      <c r="H22" s="12">
        <v>1.0</v>
      </c>
      <c r="J22" s="1"/>
      <c r="K22" s="1"/>
      <c r="L22" s="7"/>
      <c r="M22" s="7"/>
      <c r="P22" s="28" t="s">
        <v>63</v>
      </c>
      <c r="Q22" s="7">
        <v>0.0</v>
      </c>
      <c r="R22" s="3">
        <v>1.0</v>
      </c>
      <c r="S22" s="7">
        <v>1.0</v>
      </c>
      <c r="T22" s="1"/>
      <c r="U22" s="1"/>
      <c r="V22" s="7"/>
      <c r="W22" s="7"/>
      <c r="X22" s="1"/>
      <c r="Y22" s="1"/>
      <c r="Z22" s="1"/>
      <c r="AA22" s="1"/>
      <c r="AB22" s="7">
        <v>0.0</v>
      </c>
      <c r="AC22" s="7">
        <v>0.0</v>
      </c>
      <c r="AD22" s="15"/>
      <c r="AE22" s="7">
        <v>0.0</v>
      </c>
      <c r="AF22" s="7">
        <v>0.0</v>
      </c>
      <c r="AG22" s="7"/>
      <c r="AJ22" s="1"/>
      <c r="AK22" s="1"/>
      <c r="AL22" s="15"/>
      <c r="AM22" s="7"/>
      <c r="AN22" s="7"/>
      <c r="AO22" s="7"/>
      <c r="AP22" s="15"/>
    </row>
    <row r="23">
      <c r="A23" s="36" t="s">
        <v>64</v>
      </c>
      <c r="B23" s="7"/>
      <c r="C23" s="7"/>
      <c r="E23" s="7"/>
      <c r="F23" s="7"/>
      <c r="G23" s="7"/>
      <c r="H23" s="7"/>
      <c r="J23" s="1"/>
      <c r="K23" s="1"/>
      <c r="L23" s="12">
        <v>1.0</v>
      </c>
      <c r="M23" s="7"/>
      <c r="P23" s="36" t="s">
        <v>64</v>
      </c>
      <c r="Q23" s="7">
        <v>1.0</v>
      </c>
      <c r="R23" s="1"/>
      <c r="S23" s="7">
        <v>0.0</v>
      </c>
      <c r="T23" s="1"/>
      <c r="U23" s="1"/>
      <c r="V23" s="7"/>
      <c r="W23" s="7"/>
      <c r="X23" s="1"/>
      <c r="Y23" s="1"/>
      <c r="Z23" s="1"/>
      <c r="AA23" s="3">
        <v>1.0</v>
      </c>
      <c r="AB23" s="7">
        <v>0.0</v>
      </c>
      <c r="AC23" s="7">
        <v>0.0</v>
      </c>
      <c r="AD23" s="15"/>
      <c r="AE23" s="7">
        <v>0.0</v>
      </c>
      <c r="AF23" s="7">
        <v>0.0</v>
      </c>
      <c r="AG23" s="12" t="s">
        <v>66</v>
      </c>
      <c r="AJ23" s="1"/>
      <c r="AK23" s="1"/>
      <c r="AL23" s="15"/>
      <c r="AM23" s="1"/>
      <c r="AN23" s="1"/>
      <c r="AO23" s="1"/>
      <c r="AP23" s="15"/>
    </row>
    <row r="24">
      <c r="A24" s="36" t="s">
        <v>67</v>
      </c>
      <c r="B24" s="7"/>
      <c r="C24" s="7"/>
      <c r="E24" s="7"/>
      <c r="F24" s="7"/>
      <c r="G24" s="7"/>
      <c r="H24" s="7"/>
      <c r="J24" s="1"/>
      <c r="K24" s="1"/>
      <c r="L24" s="12">
        <v>1.0</v>
      </c>
      <c r="M24" s="7"/>
      <c r="P24" s="36" t="s">
        <v>67</v>
      </c>
      <c r="Q24" s="7">
        <v>1.0</v>
      </c>
      <c r="R24" s="1"/>
      <c r="S24" s="7">
        <v>0.0</v>
      </c>
      <c r="T24" s="1"/>
      <c r="U24" s="1"/>
      <c r="V24" s="7"/>
      <c r="W24" s="7"/>
      <c r="X24" s="1"/>
      <c r="Y24" s="1"/>
      <c r="Z24" s="3">
        <v>1.0</v>
      </c>
      <c r="AA24" s="1"/>
      <c r="AB24" s="7">
        <v>0.0</v>
      </c>
      <c r="AC24" s="7">
        <v>0.0</v>
      </c>
      <c r="AD24" s="15"/>
      <c r="AE24" s="7">
        <v>0.0</v>
      </c>
      <c r="AF24" s="7">
        <v>0.0</v>
      </c>
      <c r="AG24" s="7"/>
      <c r="AJ24" s="1"/>
      <c r="AK24" s="1"/>
      <c r="AL24" s="15"/>
      <c r="AM24" s="1"/>
      <c r="AN24" s="1"/>
      <c r="AO24" s="1"/>
      <c r="AP24" s="15"/>
    </row>
    <row r="25">
      <c r="A25" s="36" t="s">
        <v>68</v>
      </c>
      <c r="B25" s="7"/>
      <c r="C25" s="7"/>
      <c r="E25" s="7"/>
      <c r="F25" s="12">
        <v>2.0</v>
      </c>
      <c r="G25" s="12">
        <v>3.0</v>
      </c>
      <c r="H25" s="7"/>
      <c r="J25" s="1"/>
      <c r="K25" s="1"/>
      <c r="L25" s="12">
        <v>11.0</v>
      </c>
      <c r="M25" s="12">
        <v>2.0</v>
      </c>
      <c r="P25" s="36" t="s">
        <v>68</v>
      </c>
      <c r="Q25" s="7">
        <v>4.0</v>
      </c>
      <c r="R25" s="1"/>
      <c r="S25" s="7">
        <v>1.0</v>
      </c>
      <c r="T25" s="1"/>
      <c r="U25" s="1"/>
      <c r="V25" s="7"/>
      <c r="W25" s="7"/>
      <c r="X25" s="1"/>
      <c r="Y25" s="1"/>
      <c r="Z25" s="1"/>
      <c r="AA25" s="1"/>
      <c r="AB25" s="7">
        <v>0.0</v>
      </c>
      <c r="AC25" s="7">
        <v>0.0</v>
      </c>
      <c r="AD25" s="6"/>
      <c r="AE25" s="7">
        <v>2.0</v>
      </c>
      <c r="AF25" s="7">
        <v>1.0</v>
      </c>
      <c r="AG25" s="7"/>
      <c r="AH25" s="2">
        <v>1.0</v>
      </c>
      <c r="AJ25" s="3">
        <v>2.0</v>
      </c>
      <c r="AK25" s="1"/>
      <c r="AL25" s="6"/>
      <c r="AM25" s="1"/>
      <c r="AN25" s="1"/>
      <c r="AO25" s="1"/>
      <c r="AP25" s="6"/>
    </row>
    <row r="26">
      <c r="A26" s="93" t="s">
        <v>69</v>
      </c>
      <c r="B26" s="1"/>
      <c r="C26" s="1"/>
      <c r="D26" s="1"/>
      <c r="E26" s="34"/>
      <c r="F26" s="34"/>
      <c r="G26" s="34"/>
      <c r="H26" s="34"/>
      <c r="I26" s="3">
        <v>1.0</v>
      </c>
      <c r="J26" s="1"/>
      <c r="K26" s="1"/>
      <c r="L26" s="34"/>
      <c r="M26" s="34"/>
      <c r="P26" s="93" t="s">
        <v>69</v>
      </c>
      <c r="Q26" s="1"/>
      <c r="R26" s="1"/>
      <c r="S26" s="1"/>
      <c r="T26" s="1"/>
      <c r="U26" s="1"/>
      <c r="V26" s="1"/>
      <c r="W26" s="1"/>
      <c r="X26" s="34"/>
      <c r="Y26" s="34"/>
      <c r="Z26" s="34"/>
      <c r="AA26" s="34"/>
      <c r="AB26" s="1"/>
      <c r="AC26" s="1"/>
      <c r="AD26" s="15"/>
      <c r="AE26" s="1"/>
      <c r="AF26" s="1"/>
      <c r="AG26" s="1"/>
      <c r="AH26" s="1"/>
      <c r="AI26" s="1"/>
      <c r="AJ26" s="1"/>
      <c r="AK26" s="1"/>
      <c r="AL26" s="15"/>
      <c r="AM26" s="1"/>
      <c r="AN26" s="1"/>
      <c r="AO26" s="1"/>
      <c r="AP26" s="15"/>
    </row>
    <row r="27">
      <c r="A27" s="36" t="s">
        <v>70</v>
      </c>
      <c r="B27" s="7"/>
      <c r="C27" s="7"/>
      <c r="E27" s="12">
        <v>1.0</v>
      </c>
      <c r="F27" s="12">
        <v>1.0</v>
      </c>
      <c r="G27" s="12">
        <v>2.0</v>
      </c>
      <c r="H27" s="12">
        <v>6.0</v>
      </c>
      <c r="I27" s="2">
        <v>2.0</v>
      </c>
      <c r="J27" s="1"/>
      <c r="K27" s="1"/>
      <c r="L27" s="12">
        <v>1.0</v>
      </c>
      <c r="M27" s="12">
        <v>1.0</v>
      </c>
      <c r="P27" s="36" t="s">
        <v>70</v>
      </c>
      <c r="Q27" s="7">
        <v>1.0</v>
      </c>
      <c r="R27" s="1"/>
      <c r="S27" s="7">
        <v>0.0</v>
      </c>
      <c r="T27" s="1"/>
      <c r="U27" s="1"/>
      <c r="V27" s="1"/>
      <c r="W27" s="7"/>
      <c r="X27" s="3">
        <v>1.0</v>
      </c>
      <c r="Y27" s="3">
        <v>0.0</v>
      </c>
      <c r="Z27" s="3">
        <v>0.0</v>
      </c>
      <c r="AA27" s="3">
        <v>0.0</v>
      </c>
      <c r="AB27" s="7">
        <v>1.0</v>
      </c>
      <c r="AC27" s="7">
        <v>3.0</v>
      </c>
      <c r="AD27" s="15"/>
      <c r="AE27" s="7">
        <v>3.0</v>
      </c>
      <c r="AF27" s="7">
        <v>1.0</v>
      </c>
      <c r="AG27" s="7"/>
      <c r="AJ27" s="1"/>
      <c r="AK27" s="1"/>
      <c r="AL27" s="15"/>
      <c r="AM27" s="3">
        <v>2.0</v>
      </c>
      <c r="AN27" s="3">
        <v>1.0</v>
      </c>
      <c r="AO27" s="1"/>
      <c r="AP27" s="15"/>
    </row>
    <row r="28">
      <c r="A28" s="37" t="s">
        <v>71</v>
      </c>
      <c r="B28" s="12">
        <v>3.0</v>
      </c>
      <c r="C28" s="12">
        <v>1.0</v>
      </c>
      <c r="D28" s="2">
        <v>10.0</v>
      </c>
      <c r="E28" s="12">
        <v>1.0</v>
      </c>
      <c r="F28" s="12">
        <v>2.0</v>
      </c>
      <c r="G28" s="12">
        <v>3.0</v>
      </c>
      <c r="H28" s="12">
        <v>1.0</v>
      </c>
      <c r="I28" s="2">
        <v>4.0</v>
      </c>
      <c r="J28" s="1"/>
      <c r="K28" s="1"/>
      <c r="L28" s="12">
        <v>2.0</v>
      </c>
      <c r="M28" s="12">
        <v>1.0</v>
      </c>
      <c r="P28" s="37" t="s">
        <v>71</v>
      </c>
      <c r="Q28" s="7">
        <v>3.0</v>
      </c>
      <c r="R28" s="1"/>
      <c r="S28" s="7">
        <v>4.0</v>
      </c>
      <c r="T28" s="1"/>
      <c r="U28" s="1"/>
      <c r="V28" s="3">
        <v>1.0</v>
      </c>
      <c r="W28" s="7"/>
      <c r="X28" s="3">
        <v>1.0</v>
      </c>
      <c r="Y28" s="1"/>
      <c r="Z28" s="1"/>
      <c r="AA28" s="1"/>
      <c r="AB28" s="7">
        <v>0.0</v>
      </c>
      <c r="AC28" s="7">
        <v>3.0</v>
      </c>
      <c r="AD28" s="6"/>
      <c r="AE28" s="7">
        <v>1.0</v>
      </c>
      <c r="AF28" s="7">
        <v>0.0</v>
      </c>
      <c r="AG28" s="7"/>
      <c r="AJ28" s="1"/>
      <c r="AK28" s="1"/>
      <c r="AL28" s="6"/>
      <c r="AM28" s="1"/>
      <c r="AN28" s="1"/>
      <c r="AO28" s="1"/>
      <c r="AP28" s="6"/>
    </row>
    <row r="29">
      <c r="A29" s="36" t="s">
        <v>72</v>
      </c>
      <c r="B29" s="12">
        <v>7.0</v>
      </c>
      <c r="C29" s="12">
        <v>4.0</v>
      </c>
      <c r="D29" s="2">
        <v>8.0</v>
      </c>
      <c r="E29" s="12">
        <v>3.0</v>
      </c>
      <c r="F29" s="12">
        <v>6.0</v>
      </c>
      <c r="G29" s="12">
        <v>9.0</v>
      </c>
      <c r="H29" s="12">
        <v>10.0</v>
      </c>
      <c r="I29" s="2">
        <v>5.0</v>
      </c>
      <c r="J29" s="1"/>
      <c r="K29" s="1"/>
      <c r="L29" s="12">
        <v>1.0</v>
      </c>
      <c r="M29" s="12">
        <v>6.0</v>
      </c>
      <c r="N29" s="2">
        <v>1.0</v>
      </c>
      <c r="P29" s="36" t="s">
        <v>72</v>
      </c>
      <c r="Q29" s="7">
        <v>5.0</v>
      </c>
      <c r="R29" s="12">
        <v>1.0</v>
      </c>
      <c r="S29" s="7">
        <v>14.0</v>
      </c>
      <c r="T29" s="12">
        <v>3.0</v>
      </c>
      <c r="U29" s="7">
        <v>4.0</v>
      </c>
      <c r="V29" s="7"/>
      <c r="W29" s="12">
        <v>2.0</v>
      </c>
      <c r="X29" s="3">
        <v>4.0</v>
      </c>
      <c r="Y29" s="3">
        <v>1.0</v>
      </c>
      <c r="Z29" s="3">
        <v>1.0</v>
      </c>
      <c r="AA29" s="3">
        <v>3.0</v>
      </c>
      <c r="AB29" s="7">
        <v>3.0</v>
      </c>
      <c r="AC29" s="7">
        <v>3.0</v>
      </c>
      <c r="AD29" s="10">
        <v>3.0</v>
      </c>
      <c r="AE29" s="7">
        <v>5.0</v>
      </c>
      <c r="AF29" s="7">
        <v>0.0</v>
      </c>
      <c r="AG29" s="12">
        <v>1.0</v>
      </c>
      <c r="AJ29" s="1"/>
      <c r="AK29" s="1"/>
      <c r="AL29" s="10"/>
      <c r="AM29" s="1"/>
      <c r="AN29" s="1"/>
      <c r="AO29" s="3">
        <v>2.0</v>
      </c>
      <c r="AP29" s="10"/>
    </row>
    <row r="30">
      <c r="A30" s="37" t="s">
        <v>73</v>
      </c>
      <c r="B30" s="12">
        <v>1.0</v>
      </c>
      <c r="C30" s="12">
        <v>1.0</v>
      </c>
      <c r="D30" s="2">
        <v>10.0</v>
      </c>
      <c r="E30" s="12">
        <v>2.0</v>
      </c>
      <c r="F30" s="12">
        <v>1.0</v>
      </c>
      <c r="G30" s="7"/>
      <c r="H30" s="12">
        <v>2.0</v>
      </c>
      <c r="I30" s="2">
        <v>1.0</v>
      </c>
      <c r="J30" s="1"/>
      <c r="K30" s="1"/>
      <c r="L30" s="12"/>
      <c r="M30" s="12">
        <v>3.0</v>
      </c>
      <c r="O30" s="2">
        <v>1.0</v>
      </c>
      <c r="P30" s="37" t="s">
        <v>73</v>
      </c>
      <c r="Q30" s="7">
        <v>1.0</v>
      </c>
      <c r="R30" s="1"/>
      <c r="S30" s="7">
        <v>2.0</v>
      </c>
      <c r="T30" s="1"/>
      <c r="U30" s="1"/>
      <c r="V30" s="1"/>
      <c r="W30" s="7"/>
      <c r="X30" s="1"/>
      <c r="Y30" s="1"/>
      <c r="Z30" s="1"/>
      <c r="AA30" s="1"/>
      <c r="AB30" s="7">
        <v>0.0</v>
      </c>
      <c r="AC30" s="7">
        <v>2.0</v>
      </c>
      <c r="AD30" s="6">
        <v>1.0</v>
      </c>
      <c r="AE30" s="7">
        <v>1.0</v>
      </c>
      <c r="AF30" s="7">
        <v>0.0</v>
      </c>
      <c r="AG30" s="7"/>
      <c r="AJ30" s="1"/>
      <c r="AK30" s="1"/>
      <c r="AL30" s="15"/>
      <c r="AM30" s="1"/>
      <c r="AN30" s="1"/>
      <c r="AO30" s="1"/>
      <c r="AP30" s="15"/>
    </row>
    <row r="31">
      <c r="A31" s="36" t="s">
        <v>74</v>
      </c>
      <c r="B31" s="12">
        <v>8.0</v>
      </c>
      <c r="C31" s="12">
        <v>9.0</v>
      </c>
      <c r="D31" s="2">
        <v>14.0</v>
      </c>
      <c r="E31" s="12">
        <v>5.0</v>
      </c>
      <c r="F31" s="12">
        <v>5.0</v>
      </c>
      <c r="G31" s="12">
        <v>13.0</v>
      </c>
      <c r="H31" s="7"/>
      <c r="I31" s="2">
        <v>8.0</v>
      </c>
      <c r="J31" s="3">
        <v>1.0</v>
      </c>
      <c r="K31" s="3">
        <v>3.0</v>
      </c>
      <c r="L31" s="12">
        <v>6.0</v>
      </c>
      <c r="M31" s="12">
        <v>4.0</v>
      </c>
      <c r="N31" s="2">
        <v>3.0</v>
      </c>
      <c r="P31" s="36" t="s">
        <v>74</v>
      </c>
      <c r="Q31" s="7">
        <v>11.0</v>
      </c>
      <c r="R31" s="3">
        <v>16.0</v>
      </c>
      <c r="S31" s="7">
        <v>17.0</v>
      </c>
      <c r="T31" s="1"/>
      <c r="U31" s="1"/>
      <c r="V31" s="3">
        <v>1.0</v>
      </c>
      <c r="W31" s="7"/>
      <c r="X31" s="3">
        <v>1.0</v>
      </c>
      <c r="Y31" s="3">
        <v>1.0</v>
      </c>
      <c r="Z31" s="3">
        <v>2.0</v>
      </c>
      <c r="AA31" s="3">
        <v>0.0</v>
      </c>
      <c r="AB31" s="7">
        <v>4.0</v>
      </c>
      <c r="AC31" s="7">
        <v>9.0</v>
      </c>
      <c r="AD31" s="6"/>
      <c r="AE31" s="7">
        <v>4.0</v>
      </c>
      <c r="AF31" s="7">
        <v>0.0</v>
      </c>
      <c r="AG31" s="7"/>
      <c r="AJ31" s="3">
        <v>1.0</v>
      </c>
      <c r="AK31" s="1"/>
      <c r="AL31" s="6"/>
      <c r="AM31" s="1"/>
      <c r="AN31" s="1"/>
      <c r="AO31" s="1"/>
      <c r="AP31" s="6">
        <v>3.0</v>
      </c>
    </row>
    <row r="32">
      <c r="A32" s="37" t="s">
        <v>75</v>
      </c>
      <c r="B32" s="12">
        <v>3.0</v>
      </c>
      <c r="C32" s="12">
        <v>1.0</v>
      </c>
      <c r="D32" s="2">
        <v>6.0</v>
      </c>
      <c r="E32" s="12">
        <v>2.0</v>
      </c>
      <c r="F32" s="12">
        <v>1.0</v>
      </c>
      <c r="G32" s="12">
        <v>2.0</v>
      </c>
      <c r="H32" s="12">
        <v>1.0</v>
      </c>
      <c r="I32" s="2">
        <v>3.0</v>
      </c>
      <c r="J32" s="1"/>
      <c r="K32" s="1"/>
      <c r="L32" s="12">
        <v>2.0</v>
      </c>
      <c r="M32" s="12">
        <v>2.0</v>
      </c>
      <c r="N32" s="2">
        <v>1.0</v>
      </c>
      <c r="P32" s="37" t="s">
        <v>75</v>
      </c>
      <c r="Q32" s="7">
        <v>1.0</v>
      </c>
      <c r="R32" s="1"/>
      <c r="S32" s="7">
        <v>5.0</v>
      </c>
      <c r="T32" s="1"/>
      <c r="U32" s="1"/>
      <c r="V32" s="1"/>
      <c r="W32" s="7"/>
      <c r="X32" s="1"/>
      <c r="Y32" s="3">
        <v>1.0</v>
      </c>
      <c r="Z32" s="3">
        <v>1.0</v>
      </c>
      <c r="AA32" s="1"/>
      <c r="AB32" s="7">
        <v>0.0</v>
      </c>
      <c r="AC32" s="7">
        <v>3.0</v>
      </c>
      <c r="AD32" s="6"/>
      <c r="AE32" s="7">
        <v>1.0</v>
      </c>
      <c r="AF32" s="7">
        <v>0.0</v>
      </c>
      <c r="AG32" s="7"/>
      <c r="AJ32" s="1"/>
      <c r="AK32" s="1"/>
      <c r="AL32" s="6"/>
      <c r="AM32" s="1"/>
      <c r="AN32" s="1"/>
      <c r="AO32" s="1"/>
      <c r="AP32" s="6"/>
    </row>
    <row r="33">
      <c r="A33" s="36" t="s">
        <v>76</v>
      </c>
      <c r="B33" s="12">
        <v>16.0</v>
      </c>
      <c r="C33" s="12">
        <v>17.0</v>
      </c>
      <c r="D33" s="2">
        <v>16.0</v>
      </c>
      <c r="E33" s="12">
        <v>6.0</v>
      </c>
      <c r="F33" s="12">
        <v>17.0</v>
      </c>
      <c r="G33" s="12">
        <v>18.0</v>
      </c>
      <c r="H33" s="12">
        <v>15.0</v>
      </c>
      <c r="I33" s="2">
        <v>18.0</v>
      </c>
      <c r="J33" s="3">
        <v>9.0</v>
      </c>
      <c r="K33" s="3">
        <v>13.0</v>
      </c>
      <c r="L33" s="12">
        <v>12.0</v>
      </c>
      <c r="M33" s="12">
        <v>5.0</v>
      </c>
      <c r="N33" s="2">
        <v>8.0</v>
      </c>
      <c r="O33" s="2">
        <v>6.0</v>
      </c>
      <c r="P33" s="36" t="s">
        <v>76</v>
      </c>
      <c r="Q33" s="7">
        <v>87.0</v>
      </c>
      <c r="R33" s="12">
        <v>110.0</v>
      </c>
      <c r="S33" s="7">
        <v>63.0</v>
      </c>
      <c r="T33" s="12">
        <v>69.0</v>
      </c>
      <c r="U33" s="7">
        <v>37.0</v>
      </c>
      <c r="V33" s="12">
        <v>29.0</v>
      </c>
      <c r="W33" s="12">
        <v>15.0</v>
      </c>
      <c r="X33" s="3">
        <v>40.0</v>
      </c>
      <c r="Y33" s="3">
        <v>56.0</v>
      </c>
      <c r="Z33" s="3">
        <v>36.0</v>
      </c>
      <c r="AA33" s="3">
        <v>55.0</v>
      </c>
      <c r="AB33" s="7">
        <v>44.0</v>
      </c>
      <c r="AC33" s="7">
        <v>48.0</v>
      </c>
      <c r="AD33" s="10">
        <v>21.0</v>
      </c>
      <c r="AE33" s="7">
        <v>37.0</v>
      </c>
      <c r="AF33" s="7">
        <v>13.0</v>
      </c>
      <c r="AG33" s="12">
        <v>20.0</v>
      </c>
      <c r="AH33" s="2">
        <v>21.0</v>
      </c>
      <c r="AI33" s="2">
        <v>32.0</v>
      </c>
      <c r="AJ33" s="3">
        <v>23.0</v>
      </c>
      <c r="AK33" s="3">
        <v>22.0</v>
      </c>
      <c r="AL33" s="10">
        <v>5.0</v>
      </c>
      <c r="AM33" s="3">
        <v>6.0</v>
      </c>
      <c r="AN33" s="3">
        <v>6.0</v>
      </c>
      <c r="AO33" s="3">
        <v>4.0</v>
      </c>
      <c r="AP33" s="10">
        <v>42.0</v>
      </c>
      <c r="AQ33" s="2">
        <v>19.0</v>
      </c>
    </row>
    <row r="34">
      <c r="A34" s="37" t="s">
        <v>77</v>
      </c>
      <c r="B34" s="12">
        <v>5.0</v>
      </c>
      <c r="C34" s="12">
        <v>1.0</v>
      </c>
      <c r="D34" s="2">
        <v>16.0</v>
      </c>
      <c r="E34" s="12">
        <v>1.0</v>
      </c>
      <c r="F34" s="12">
        <v>5.0</v>
      </c>
      <c r="G34" s="12">
        <v>1.0</v>
      </c>
      <c r="H34" s="7"/>
      <c r="I34" s="2">
        <v>2.0</v>
      </c>
      <c r="J34" s="1"/>
      <c r="K34" s="1"/>
      <c r="L34" s="12"/>
      <c r="M34" s="12">
        <v>1.0</v>
      </c>
      <c r="N34" s="2">
        <v>1.0</v>
      </c>
      <c r="P34" s="37" t="s">
        <v>77</v>
      </c>
      <c r="Q34" s="7">
        <v>0.0</v>
      </c>
      <c r="R34" s="1"/>
      <c r="S34" s="7">
        <v>2.0</v>
      </c>
      <c r="T34" s="1"/>
      <c r="U34" s="1"/>
      <c r="V34" s="3">
        <v>1.0</v>
      </c>
      <c r="W34" s="7"/>
      <c r="X34" s="1"/>
      <c r="Y34" s="1"/>
      <c r="Z34" s="1"/>
      <c r="AA34" s="1"/>
      <c r="AB34" s="7">
        <v>1.0</v>
      </c>
      <c r="AC34" s="7">
        <v>0.0</v>
      </c>
      <c r="AD34" s="15"/>
      <c r="AE34" s="7">
        <v>1.0</v>
      </c>
      <c r="AF34" s="7">
        <v>0.0</v>
      </c>
      <c r="AG34" s="7"/>
      <c r="AJ34" s="1"/>
      <c r="AK34" s="1"/>
      <c r="AL34" s="15"/>
      <c r="AM34" s="1"/>
      <c r="AN34" s="1"/>
      <c r="AO34" s="3">
        <v>1.0</v>
      </c>
      <c r="AP34" s="15"/>
    </row>
    <row r="35">
      <c r="A35" s="38" t="s">
        <v>78</v>
      </c>
      <c r="B35" s="2">
        <v>9.0</v>
      </c>
      <c r="C35" s="2">
        <v>1.0</v>
      </c>
      <c r="D35" s="2">
        <v>4.0</v>
      </c>
      <c r="E35" s="2"/>
      <c r="F35" s="2">
        <v>2.0</v>
      </c>
      <c r="G35" s="2">
        <v>2.0</v>
      </c>
      <c r="H35" s="2">
        <v>1.0</v>
      </c>
      <c r="I35" s="2">
        <v>3.0</v>
      </c>
      <c r="L35" s="2">
        <v>1.0</v>
      </c>
      <c r="M35" s="2"/>
      <c r="P35" s="38" t="s">
        <v>78</v>
      </c>
      <c r="Q35" s="2">
        <v>0.0</v>
      </c>
      <c r="R35" s="2">
        <v>9.0</v>
      </c>
      <c r="S35" s="2">
        <v>1.0</v>
      </c>
      <c r="V35" s="2">
        <v>2.0</v>
      </c>
      <c r="AA35" s="2">
        <v>1.0</v>
      </c>
      <c r="AB35" s="2">
        <v>3.0</v>
      </c>
      <c r="AC35" s="2">
        <v>4.0</v>
      </c>
      <c r="AE35" s="2">
        <v>1.0</v>
      </c>
      <c r="AF35" s="2">
        <v>1.0</v>
      </c>
      <c r="AO35" s="2">
        <v>1.0</v>
      </c>
      <c r="AP35" s="2">
        <v>1.0</v>
      </c>
    </row>
    <row r="36">
      <c r="A36" s="36" t="s">
        <v>79</v>
      </c>
      <c r="B36" s="12">
        <v>3.0</v>
      </c>
      <c r="C36" s="12">
        <v>11.0</v>
      </c>
      <c r="D36" s="2">
        <v>12.0</v>
      </c>
      <c r="E36" s="12">
        <v>2.0</v>
      </c>
      <c r="F36" s="12">
        <v>8.0</v>
      </c>
      <c r="G36" s="12">
        <v>14.0</v>
      </c>
      <c r="H36" s="12">
        <v>10.0</v>
      </c>
      <c r="I36" s="2">
        <v>5.0</v>
      </c>
      <c r="J36" s="3">
        <v>3.0</v>
      </c>
      <c r="K36" s="3">
        <v>3.0</v>
      </c>
      <c r="L36" s="12">
        <v>5.0</v>
      </c>
      <c r="M36" s="12">
        <v>3.0</v>
      </c>
      <c r="N36" s="2">
        <v>3.0</v>
      </c>
      <c r="O36" s="2">
        <v>1.0</v>
      </c>
      <c r="P36" s="36" t="s">
        <v>79</v>
      </c>
      <c r="Q36" s="7">
        <v>20.0</v>
      </c>
      <c r="R36" s="12">
        <v>22.0</v>
      </c>
      <c r="S36" s="7">
        <v>11.0</v>
      </c>
      <c r="T36" s="12">
        <v>1.0</v>
      </c>
      <c r="U36" s="7">
        <v>3.0</v>
      </c>
      <c r="V36" s="12">
        <v>5.0</v>
      </c>
      <c r="W36" s="12">
        <v>8.0</v>
      </c>
      <c r="X36" s="3">
        <v>5.0</v>
      </c>
      <c r="Y36" s="3">
        <v>1.0</v>
      </c>
      <c r="Z36" s="3">
        <v>4.0</v>
      </c>
      <c r="AA36" s="3">
        <v>1.0</v>
      </c>
      <c r="AB36" s="7">
        <v>10.0</v>
      </c>
      <c r="AC36" s="7">
        <v>10.0</v>
      </c>
      <c r="AD36" s="2">
        <v>2.0</v>
      </c>
      <c r="AE36" s="7">
        <v>0.0</v>
      </c>
      <c r="AF36" s="7">
        <v>0.0</v>
      </c>
      <c r="AG36" s="7"/>
      <c r="AJ36" s="1"/>
      <c r="AK36" s="1"/>
      <c r="AL36" s="2"/>
      <c r="AM36" s="1"/>
      <c r="AN36" s="3">
        <v>1.0</v>
      </c>
      <c r="AO36" s="3">
        <v>2.0</v>
      </c>
      <c r="AP36" s="2">
        <v>4.0</v>
      </c>
    </row>
    <row r="37">
      <c r="A37" s="37" t="s">
        <v>80</v>
      </c>
      <c r="B37" s="12">
        <v>1.0</v>
      </c>
      <c r="C37" s="12">
        <v>5.0</v>
      </c>
      <c r="E37" s="12">
        <v>3.0</v>
      </c>
      <c r="F37" s="12">
        <v>2.0</v>
      </c>
      <c r="G37" s="12">
        <v>1.0</v>
      </c>
      <c r="H37" s="7"/>
      <c r="I37" s="2">
        <v>10.0</v>
      </c>
      <c r="J37" s="1"/>
      <c r="K37" s="1"/>
      <c r="L37" s="12">
        <v>1.0</v>
      </c>
      <c r="M37" s="12">
        <v>1.0</v>
      </c>
      <c r="N37" s="2">
        <v>1.0</v>
      </c>
      <c r="P37" s="37" t="s">
        <v>80</v>
      </c>
      <c r="Q37" s="7">
        <v>1.0</v>
      </c>
      <c r="R37" s="3">
        <v>3.0</v>
      </c>
      <c r="S37" s="7">
        <v>1.0</v>
      </c>
      <c r="T37" s="1"/>
      <c r="U37" s="1"/>
      <c r="V37" s="1"/>
      <c r="W37" s="7"/>
      <c r="X37" s="1"/>
      <c r="Y37" s="1"/>
      <c r="Z37" s="3">
        <v>1.0</v>
      </c>
      <c r="AA37" s="1"/>
      <c r="AB37" s="7">
        <v>4.0</v>
      </c>
      <c r="AC37" s="7">
        <v>0.0</v>
      </c>
      <c r="AD37" s="6">
        <v>1.0</v>
      </c>
      <c r="AE37" s="7">
        <v>3.0</v>
      </c>
      <c r="AF37" s="7">
        <v>0.0</v>
      </c>
      <c r="AG37" s="7"/>
      <c r="AJ37" s="1"/>
      <c r="AK37" s="1"/>
      <c r="AL37" s="15"/>
      <c r="AM37" s="1"/>
      <c r="AN37" s="1"/>
      <c r="AO37" s="1"/>
      <c r="AP37" s="6">
        <v>2.0</v>
      </c>
      <c r="AQ37" s="2">
        <v>1.0</v>
      </c>
    </row>
    <row r="38">
      <c r="A38" s="36" t="s">
        <v>81</v>
      </c>
      <c r="B38" s="12">
        <v>1.0</v>
      </c>
      <c r="C38" s="12">
        <v>8.0</v>
      </c>
      <c r="D38" s="2">
        <v>7.0</v>
      </c>
      <c r="E38" s="12">
        <v>1.0</v>
      </c>
      <c r="F38" s="12">
        <v>1.0</v>
      </c>
      <c r="G38" s="12">
        <v>5.0</v>
      </c>
      <c r="H38" s="12">
        <v>1.0</v>
      </c>
      <c r="I38" s="2">
        <v>3.0</v>
      </c>
      <c r="J38" s="1"/>
      <c r="K38" s="1"/>
      <c r="L38" s="12"/>
      <c r="M38" s="12"/>
      <c r="P38" s="36" t="s">
        <v>81</v>
      </c>
      <c r="Q38" s="7">
        <v>3.0</v>
      </c>
      <c r="R38" s="1"/>
      <c r="S38" s="7">
        <v>1.0</v>
      </c>
      <c r="T38" s="1"/>
      <c r="U38" s="1"/>
      <c r="V38" s="1"/>
      <c r="W38" s="12">
        <v>3.0</v>
      </c>
      <c r="X38" s="3">
        <v>2.0</v>
      </c>
      <c r="Y38" s="3">
        <v>0.0</v>
      </c>
      <c r="Z38" s="3">
        <v>2.0</v>
      </c>
      <c r="AA38" s="3">
        <v>0.0</v>
      </c>
      <c r="AB38" s="7">
        <v>3.0</v>
      </c>
      <c r="AC38" s="7">
        <v>2.0</v>
      </c>
      <c r="AD38" s="15"/>
      <c r="AE38" s="7">
        <v>3.0</v>
      </c>
      <c r="AF38" s="7">
        <v>1.0</v>
      </c>
      <c r="AG38" s="12">
        <v>1.0</v>
      </c>
      <c r="AJ38" s="3">
        <v>1.0</v>
      </c>
      <c r="AK38" s="1"/>
      <c r="AL38" s="15"/>
      <c r="AM38" s="1"/>
      <c r="AN38" s="1"/>
      <c r="AO38" s="1"/>
      <c r="AP38" s="6">
        <v>2.0</v>
      </c>
    </row>
    <row r="39">
      <c r="A39" s="36" t="s">
        <v>82</v>
      </c>
      <c r="B39" s="12">
        <v>4.0</v>
      </c>
      <c r="C39" s="12">
        <v>5.0</v>
      </c>
      <c r="D39" s="2">
        <v>6.0</v>
      </c>
      <c r="E39" s="12">
        <v>2.0</v>
      </c>
      <c r="F39" s="12">
        <v>1.0</v>
      </c>
      <c r="G39" s="12">
        <v>2.0</v>
      </c>
      <c r="H39" s="12">
        <v>5.0</v>
      </c>
      <c r="J39" s="3">
        <v>2.0</v>
      </c>
      <c r="K39" s="3"/>
      <c r="L39" s="12">
        <v>2.0</v>
      </c>
      <c r="M39" s="12">
        <v>4.0</v>
      </c>
      <c r="P39" s="36" t="s">
        <v>82</v>
      </c>
      <c r="Q39" s="7">
        <v>6.0</v>
      </c>
      <c r="R39" s="3">
        <v>10.0</v>
      </c>
      <c r="S39" s="7">
        <v>6.0</v>
      </c>
      <c r="T39" s="1"/>
      <c r="U39" s="1"/>
      <c r="V39" s="3">
        <v>2.0</v>
      </c>
      <c r="W39" s="7"/>
      <c r="X39" s="3">
        <v>1.0</v>
      </c>
      <c r="Y39" s="3">
        <v>1.0</v>
      </c>
      <c r="Z39" s="3">
        <v>1.0</v>
      </c>
      <c r="AA39" s="3">
        <v>0.0</v>
      </c>
      <c r="AB39" s="7">
        <v>4.0</v>
      </c>
      <c r="AC39" s="7">
        <v>0.0</v>
      </c>
      <c r="AD39" s="15"/>
      <c r="AE39" s="7">
        <v>0.0</v>
      </c>
      <c r="AF39" s="7">
        <v>0.0</v>
      </c>
      <c r="AG39" s="12">
        <v>1.0</v>
      </c>
      <c r="AH39" s="2">
        <v>1.0</v>
      </c>
      <c r="AJ39" s="3">
        <v>2.0</v>
      </c>
      <c r="AK39" s="1"/>
      <c r="AL39" s="15"/>
      <c r="AM39" s="1"/>
      <c r="AN39" s="1"/>
      <c r="AO39" s="3">
        <v>1.0</v>
      </c>
      <c r="AP39" s="6">
        <v>1.0</v>
      </c>
    </row>
    <row r="40">
      <c r="A40" s="36" t="s">
        <v>83</v>
      </c>
      <c r="B40" s="12">
        <v>12.0</v>
      </c>
      <c r="C40" s="12">
        <v>24.0</v>
      </c>
      <c r="D40" s="2">
        <v>6.0</v>
      </c>
      <c r="E40" s="12">
        <v>7.0</v>
      </c>
      <c r="F40" s="12">
        <v>4.0</v>
      </c>
      <c r="G40" s="12">
        <v>12.0</v>
      </c>
      <c r="H40" s="12">
        <v>5.0</v>
      </c>
      <c r="I40" s="2">
        <v>13.0</v>
      </c>
      <c r="J40" s="1"/>
      <c r="K40" s="3">
        <v>7.0</v>
      </c>
      <c r="L40" s="12">
        <v>8.0</v>
      </c>
      <c r="M40" s="12">
        <v>9.0</v>
      </c>
      <c r="N40" s="2">
        <v>9.0</v>
      </c>
      <c r="O40" s="2">
        <v>2.0</v>
      </c>
      <c r="P40" s="36" t="s">
        <v>83</v>
      </c>
      <c r="Q40" s="7">
        <v>30.0</v>
      </c>
      <c r="R40" s="12">
        <v>27.0</v>
      </c>
      <c r="S40" s="7">
        <v>32.0</v>
      </c>
      <c r="T40" s="12">
        <v>9.0</v>
      </c>
      <c r="U40" s="7">
        <v>15.0</v>
      </c>
      <c r="V40" s="12">
        <v>9.0</v>
      </c>
      <c r="W40" s="7"/>
      <c r="X40" s="3">
        <v>9.0</v>
      </c>
      <c r="Y40" s="3">
        <v>4.0</v>
      </c>
      <c r="Z40" s="3">
        <v>12.0</v>
      </c>
      <c r="AA40" s="3">
        <v>7.0</v>
      </c>
      <c r="AB40" s="7">
        <v>15.0</v>
      </c>
      <c r="AC40" s="7">
        <v>19.0</v>
      </c>
      <c r="AD40" s="10">
        <v>13.0</v>
      </c>
      <c r="AE40" s="7">
        <v>16.0</v>
      </c>
      <c r="AF40" s="7">
        <v>5.0</v>
      </c>
      <c r="AG40" s="12">
        <v>4.0</v>
      </c>
      <c r="AH40" s="2">
        <v>13.0</v>
      </c>
      <c r="AI40" s="2">
        <v>2.0</v>
      </c>
      <c r="AJ40" s="1"/>
      <c r="AK40" s="3">
        <v>1.0</v>
      </c>
      <c r="AL40" s="10">
        <v>2.0</v>
      </c>
      <c r="AM40" s="3">
        <v>3.0</v>
      </c>
      <c r="AN40" s="3">
        <v>1.0</v>
      </c>
      <c r="AO40" s="3">
        <v>1.0</v>
      </c>
      <c r="AP40" s="10">
        <v>12.0</v>
      </c>
      <c r="AQ40" s="2">
        <v>4.0</v>
      </c>
    </row>
    <row r="41">
      <c r="A41" s="36" t="s">
        <v>84</v>
      </c>
      <c r="B41" s="12">
        <v>2.0</v>
      </c>
      <c r="C41" s="12">
        <v>8.0</v>
      </c>
      <c r="D41" s="2">
        <v>15.0</v>
      </c>
      <c r="E41" s="12">
        <v>4.0</v>
      </c>
      <c r="F41" s="12">
        <v>11.0</v>
      </c>
      <c r="G41" s="12">
        <v>1.0</v>
      </c>
      <c r="H41" s="12">
        <v>5.0</v>
      </c>
      <c r="I41" s="2">
        <v>1.0</v>
      </c>
      <c r="J41" s="1"/>
      <c r="K41" s="1"/>
      <c r="L41" s="12">
        <v>5.0</v>
      </c>
      <c r="M41" s="12">
        <v>1.0</v>
      </c>
      <c r="O41" s="2">
        <v>1.0</v>
      </c>
      <c r="P41" s="36" t="s">
        <v>84</v>
      </c>
      <c r="Q41" s="7">
        <v>3.0</v>
      </c>
      <c r="R41" s="3">
        <v>10.0</v>
      </c>
      <c r="S41" s="7">
        <v>8.0</v>
      </c>
      <c r="T41" s="1"/>
      <c r="U41" s="1"/>
      <c r="V41" s="1"/>
      <c r="W41" s="7"/>
      <c r="X41" s="3">
        <v>0.0</v>
      </c>
      <c r="Y41" s="3">
        <v>1.0</v>
      </c>
      <c r="Z41" s="3">
        <v>1.0</v>
      </c>
      <c r="AA41" s="3">
        <v>0.0</v>
      </c>
      <c r="AB41" s="7">
        <v>2.0</v>
      </c>
      <c r="AC41" s="7">
        <v>3.0</v>
      </c>
      <c r="AD41" s="15"/>
      <c r="AE41" s="7">
        <v>0.0</v>
      </c>
      <c r="AF41" s="7">
        <v>0.0</v>
      </c>
      <c r="AG41" s="7"/>
      <c r="AJ41" s="3">
        <v>1.0</v>
      </c>
      <c r="AK41" s="1"/>
      <c r="AL41" s="15"/>
      <c r="AM41" s="1"/>
      <c r="AN41" s="1"/>
      <c r="AO41" s="1"/>
      <c r="AP41" s="6">
        <v>1.0</v>
      </c>
    </row>
    <row r="42">
      <c r="A42" s="37" t="s">
        <v>85</v>
      </c>
      <c r="B42" s="12">
        <v>5.0</v>
      </c>
      <c r="C42" s="12">
        <v>3.0</v>
      </c>
      <c r="D42" s="2">
        <v>5.0</v>
      </c>
      <c r="E42" s="12">
        <v>3.0</v>
      </c>
      <c r="F42" s="12">
        <v>4.0</v>
      </c>
      <c r="G42" s="12">
        <v>4.0</v>
      </c>
      <c r="H42" s="12">
        <v>2.0</v>
      </c>
      <c r="I42" s="2">
        <v>3.0</v>
      </c>
      <c r="J42" s="1"/>
      <c r="K42" s="1"/>
      <c r="L42" s="12">
        <v>3.0</v>
      </c>
      <c r="M42" s="12"/>
      <c r="P42" s="37" t="s">
        <v>85</v>
      </c>
      <c r="Q42" s="7">
        <v>9.0</v>
      </c>
      <c r="R42" s="3">
        <v>2.0</v>
      </c>
      <c r="S42" s="7">
        <v>5.0</v>
      </c>
      <c r="T42" s="1"/>
      <c r="U42" s="1"/>
      <c r="V42" s="1"/>
      <c r="W42" s="12">
        <v>1.0</v>
      </c>
      <c r="X42" s="1"/>
      <c r="Y42" s="3">
        <v>1.0</v>
      </c>
      <c r="Z42" s="3">
        <v>1.0</v>
      </c>
      <c r="AA42" s="1"/>
      <c r="AB42" s="7">
        <v>2.0</v>
      </c>
      <c r="AC42" s="7">
        <v>0.0</v>
      </c>
      <c r="AD42" s="6">
        <v>1.0</v>
      </c>
      <c r="AE42" s="7">
        <v>1.0</v>
      </c>
      <c r="AF42" s="7">
        <v>1.0</v>
      </c>
      <c r="AG42" s="7"/>
      <c r="AI42" s="2">
        <v>1.0</v>
      </c>
      <c r="AJ42" s="1"/>
      <c r="AK42" s="1"/>
      <c r="AL42" s="15"/>
      <c r="AM42" s="1"/>
      <c r="AN42" s="1"/>
      <c r="AO42" s="1"/>
      <c r="AP42" s="15"/>
    </row>
    <row r="43">
      <c r="A43" s="36" t="s">
        <v>86</v>
      </c>
      <c r="B43" s="12">
        <v>9.0</v>
      </c>
      <c r="C43" s="12">
        <v>16.0</v>
      </c>
      <c r="D43" s="2">
        <v>4.0</v>
      </c>
      <c r="E43" s="12">
        <v>5.0</v>
      </c>
      <c r="F43" s="12">
        <v>4.0</v>
      </c>
      <c r="G43" s="12">
        <v>7.0</v>
      </c>
      <c r="H43" s="12">
        <v>11.0</v>
      </c>
      <c r="I43" s="2">
        <v>6.0</v>
      </c>
      <c r="J43" s="3">
        <v>2.0</v>
      </c>
      <c r="K43" s="3">
        <v>5.0</v>
      </c>
      <c r="L43" s="12"/>
      <c r="M43" s="12">
        <v>4.0</v>
      </c>
      <c r="P43" s="36" t="s">
        <v>86</v>
      </c>
      <c r="Q43" s="7">
        <v>26.0</v>
      </c>
      <c r="R43" s="12">
        <v>12.0</v>
      </c>
      <c r="S43" s="7">
        <v>40.0</v>
      </c>
      <c r="T43" s="12">
        <v>4.0</v>
      </c>
      <c r="U43" s="7">
        <v>2.0</v>
      </c>
      <c r="V43" s="7"/>
      <c r="W43" s="12">
        <v>6.0</v>
      </c>
      <c r="X43" s="3">
        <v>3.0</v>
      </c>
      <c r="Y43" s="3">
        <v>1.0</v>
      </c>
      <c r="Z43" s="3">
        <v>8.0</v>
      </c>
      <c r="AA43" s="3">
        <v>2.0</v>
      </c>
      <c r="AB43" s="7">
        <v>11.0</v>
      </c>
      <c r="AC43" s="7">
        <v>30.0</v>
      </c>
      <c r="AD43" s="11"/>
      <c r="AE43" s="7">
        <v>0.0</v>
      </c>
      <c r="AF43" s="7">
        <v>6.0</v>
      </c>
      <c r="AG43" s="12">
        <v>1.0</v>
      </c>
      <c r="AH43" s="2">
        <v>1.0</v>
      </c>
      <c r="AI43" s="2">
        <v>2.0</v>
      </c>
      <c r="AJ43" s="1"/>
      <c r="AK43" s="1"/>
      <c r="AL43" s="11"/>
      <c r="AM43" s="1"/>
      <c r="AN43" s="3">
        <v>1.0</v>
      </c>
      <c r="AO43" s="3">
        <v>2.0</v>
      </c>
      <c r="AP43" s="10">
        <v>4.0</v>
      </c>
    </row>
    <row r="44">
      <c r="A44" s="37" t="s">
        <v>87</v>
      </c>
      <c r="B44" s="12">
        <v>1.0</v>
      </c>
      <c r="C44" s="12">
        <v>2.0</v>
      </c>
      <c r="D44" s="2">
        <v>8.0</v>
      </c>
      <c r="E44" s="7"/>
      <c r="F44" s="12">
        <v>3.0</v>
      </c>
      <c r="G44" s="12">
        <v>5.0</v>
      </c>
      <c r="H44" s="12">
        <v>3.0</v>
      </c>
      <c r="I44" s="2">
        <v>5.0</v>
      </c>
      <c r="J44" s="1"/>
      <c r="K44" s="1"/>
      <c r="L44" s="12">
        <v>1.0</v>
      </c>
      <c r="M44" s="12">
        <v>4.0</v>
      </c>
      <c r="P44" s="37" t="s">
        <v>87</v>
      </c>
      <c r="Q44" s="7">
        <v>5.0</v>
      </c>
      <c r="R44" s="3">
        <v>1.0</v>
      </c>
      <c r="S44" s="7">
        <v>5.0</v>
      </c>
      <c r="T44" s="1"/>
      <c r="U44" s="1"/>
      <c r="V44" s="1"/>
      <c r="W44" s="7"/>
      <c r="X44" s="1"/>
      <c r="Y44" s="1"/>
      <c r="Z44" s="1"/>
      <c r="AA44" s="3">
        <v>1.0</v>
      </c>
      <c r="AB44" s="7">
        <v>1.0</v>
      </c>
      <c r="AC44" s="7">
        <v>0.0</v>
      </c>
      <c r="AD44" s="15"/>
      <c r="AE44" s="7">
        <v>0.0</v>
      </c>
      <c r="AF44" s="7">
        <v>0.0</v>
      </c>
      <c r="AG44" s="7"/>
      <c r="AJ44" s="1"/>
      <c r="AK44" s="1"/>
      <c r="AL44" s="15"/>
      <c r="AM44" s="1"/>
      <c r="AN44" s="1"/>
      <c r="AO44" s="1"/>
      <c r="AP44" s="15"/>
    </row>
    <row r="45">
      <c r="A45" s="36" t="s">
        <v>89</v>
      </c>
      <c r="B45" s="12"/>
      <c r="C45" s="12">
        <v>3.0</v>
      </c>
      <c r="E45" s="12">
        <v>4.0</v>
      </c>
      <c r="F45" s="12">
        <v>5.0</v>
      </c>
      <c r="G45" s="12">
        <v>2.0</v>
      </c>
      <c r="H45" s="12">
        <v>5.0</v>
      </c>
      <c r="I45" s="2">
        <v>4.0</v>
      </c>
      <c r="J45" s="3">
        <v>3.0</v>
      </c>
      <c r="K45" s="3">
        <v>1.0</v>
      </c>
      <c r="L45" s="12"/>
      <c r="M45" s="12"/>
      <c r="N45" s="2">
        <v>2.0</v>
      </c>
      <c r="P45" s="36" t="s">
        <v>89</v>
      </c>
      <c r="Q45" s="7">
        <v>3.0</v>
      </c>
      <c r="R45" s="3">
        <v>1.0</v>
      </c>
      <c r="S45" s="7">
        <v>6.0</v>
      </c>
      <c r="T45" s="1"/>
      <c r="U45" s="1"/>
      <c r="V45" s="3">
        <v>2.0</v>
      </c>
      <c r="W45" s="7"/>
      <c r="X45" s="3">
        <v>3.0</v>
      </c>
      <c r="Y45" s="3">
        <v>2.0</v>
      </c>
      <c r="Z45" s="3">
        <v>0.0</v>
      </c>
      <c r="AA45" s="3">
        <v>2.0</v>
      </c>
      <c r="AB45" s="7">
        <v>2.0</v>
      </c>
      <c r="AC45" s="7">
        <v>3.0</v>
      </c>
      <c r="AD45" s="6"/>
      <c r="AE45" s="7">
        <v>0.0</v>
      </c>
      <c r="AF45" s="7">
        <v>0.0</v>
      </c>
      <c r="AG45" s="7"/>
      <c r="AJ45" s="1"/>
      <c r="AK45" s="3">
        <v>1.0</v>
      </c>
      <c r="AL45" s="6">
        <v>1.0</v>
      </c>
      <c r="AM45" s="1"/>
      <c r="AN45" s="1"/>
      <c r="AO45" s="1"/>
      <c r="AP45" s="6"/>
    </row>
    <row r="46">
      <c r="A46" s="40" t="s">
        <v>90</v>
      </c>
      <c r="B46" s="12">
        <v>4.0</v>
      </c>
      <c r="C46" s="12">
        <v>20.0</v>
      </c>
      <c r="D46" s="2">
        <v>9.0</v>
      </c>
      <c r="E46" s="12">
        <v>13.0</v>
      </c>
      <c r="F46" s="12">
        <v>13.0</v>
      </c>
      <c r="G46" s="12">
        <v>19.0</v>
      </c>
      <c r="H46" s="12">
        <v>11.0</v>
      </c>
      <c r="I46" s="2">
        <v>17.0</v>
      </c>
      <c r="J46" s="3">
        <v>10.0</v>
      </c>
      <c r="K46" s="3">
        <v>9.0</v>
      </c>
      <c r="L46" s="12">
        <v>17.0</v>
      </c>
      <c r="M46" s="12">
        <v>16.0</v>
      </c>
      <c r="N46" s="2">
        <v>5.0</v>
      </c>
      <c r="O46" s="2">
        <v>8.0</v>
      </c>
      <c r="P46" s="40" t="s">
        <v>90</v>
      </c>
      <c r="Q46" s="7">
        <v>27.0</v>
      </c>
      <c r="R46" s="12">
        <v>74.0</v>
      </c>
      <c r="S46" s="7">
        <v>34.0</v>
      </c>
      <c r="T46" s="12">
        <v>11.0</v>
      </c>
      <c r="U46" s="7">
        <v>12.0</v>
      </c>
      <c r="V46" s="12">
        <v>10.0</v>
      </c>
      <c r="W46" s="12">
        <v>5.0</v>
      </c>
      <c r="X46" s="3">
        <v>21.0</v>
      </c>
      <c r="Y46" s="3">
        <v>13.0</v>
      </c>
      <c r="Z46" s="2">
        <v>15.0</v>
      </c>
      <c r="AA46" s="12">
        <v>7.0</v>
      </c>
      <c r="AB46" s="7">
        <v>37.0</v>
      </c>
      <c r="AC46" s="7">
        <v>14.0</v>
      </c>
      <c r="AD46" s="10">
        <v>9.0</v>
      </c>
      <c r="AE46" s="7">
        <v>21.0</v>
      </c>
      <c r="AF46" s="7">
        <v>9.0</v>
      </c>
      <c r="AG46" s="12">
        <v>8.0</v>
      </c>
      <c r="AH46" s="2">
        <v>4.0</v>
      </c>
      <c r="AI46" s="2">
        <v>9.0</v>
      </c>
      <c r="AJ46" s="3">
        <v>15.0</v>
      </c>
      <c r="AK46" s="3">
        <v>5.0</v>
      </c>
      <c r="AL46" s="10">
        <v>9.0</v>
      </c>
      <c r="AM46" s="12">
        <v>6.0</v>
      </c>
      <c r="AN46" s="12">
        <v>4.0</v>
      </c>
      <c r="AO46" s="12">
        <v>7.0</v>
      </c>
      <c r="AP46" s="10">
        <v>35.0</v>
      </c>
      <c r="AQ46" s="2">
        <v>8.0</v>
      </c>
    </row>
    <row r="47">
      <c r="A47" s="42" t="s">
        <v>91</v>
      </c>
      <c r="B47" s="12">
        <v>2.0</v>
      </c>
      <c r="C47" s="12">
        <v>1.0</v>
      </c>
      <c r="D47" s="2">
        <v>4.0</v>
      </c>
      <c r="E47" s="7"/>
      <c r="F47" s="12">
        <v>5.0</v>
      </c>
      <c r="G47" s="12">
        <v>4.0</v>
      </c>
      <c r="H47" s="12">
        <v>1.0</v>
      </c>
      <c r="I47" s="2">
        <v>2.0</v>
      </c>
      <c r="J47" s="1"/>
      <c r="K47" s="1"/>
      <c r="L47" s="12">
        <v>6.0</v>
      </c>
      <c r="M47" s="12"/>
      <c r="P47" s="42" t="s">
        <v>91</v>
      </c>
      <c r="Q47" s="7">
        <v>1.0</v>
      </c>
      <c r="R47" s="1"/>
      <c r="S47" s="7">
        <v>2.0</v>
      </c>
      <c r="T47" s="1"/>
      <c r="U47" s="1"/>
      <c r="V47" s="7"/>
      <c r="W47" s="7"/>
      <c r="X47" s="1"/>
      <c r="Y47" s="1"/>
      <c r="Z47" s="1"/>
      <c r="AA47" s="1"/>
      <c r="AB47" s="7">
        <v>1.0</v>
      </c>
      <c r="AC47" s="7">
        <v>3.0</v>
      </c>
      <c r="AD47" s="6"/>
      <c r="AE47" s="7">
        <v>2.0</v>
      </c>
      <c r="AF47" s="7">
        <v>1.0</v>
      </c>
      <c r="AG47" s="7"/>
      <c r="AJ47" s="1"/>
      <c r="AK47" s="1"/>
      <c r="AL47" s="6"/>
      <c r="AM47" s="1"/>
      <c r="AN47" s="1"/>
      <c r="AO47" s="1"/>
      <c r="AP47" s="6"/>
    </row>
    <row r="48">
      <c r="A48" s="42" t="s">
        <v>93</v>
      </c>
      <c r="B48" s="12">
        <v>1.0</v>
      </c>
      <c r="C48" s="7"/>
      <c r="E48" s="7"/>
      <c r="F48" s="7"/>
      <c r="G48" s="7"/>
      <c r="H48" s="7"/>
      <c r="J48" s="1"/>
      <c r="K48" s="1"/>
      <c r="L48" s="12">
        <v>5.0</v>
      </c>
      <c r="M48" s="12">
        <v>1.0</v>
      </c>
      <c r="P48" s="42" t="s">
        <v>93</v>
      </c>
      <c r="Q48" s="7">
        <v>2.0</v>
      </c>
      <c r="R48" s="1"/>
      <c r="S48" s="7">
        <v>1.0</v>
      </c>
      <c r="T48" s="1"/>
      <c r="U48" s="1"/>
      <c r="V48" s="7"/>
      <c r="W48" s="7"/>
      <c r="X48" s="1"/>
      <c r="Y48" s="1"/>
      <c r="Z48" s="1"/>
      <c r="AA48" s="1"/>
      <c r="AB48" s="7">
        <v>1.0</v>
      </c>
      <c r="AC48" s="7">
        <v>1.0</v>
      </c>
      <c r="AD48" s="15"/>
      <c r="AE48" s="7">
        <v>3.0</v>
      </c>
      <c r="AF48" s="7">
        <v>0.0</v>
      </c>
      <c r="AG48" s="7"/>
      <c r="AJ48" s="1"/>
      <c r="AK48" s="1"/>
      <c r="AL48" s="15"/>
      <c r="AM48" s="1"/>
      <c r="AN48" s="1"/>
      <c r="AO48" s="1"/>
      <c r="AP48" s="15"/>
    </row>
    <row r="49">
      <c r="A49" s="42" t="s">
        <v>94</v>
      </c>
      <c r="B49" s="7"/>
      <c r="C49" s="7"/>
      <c r="E49" s="7"/>
      <c r="F49" s="12">
        <v>1.0</v>
      </c>
      <c r="G49" s="7"/>
      <c r="H49" s="7"/>
      <c r="I49" s="2">
        <v>1.0</v>
      </c>
      <c r="J49" s="1"/>
      <c r="K49" s="1"/>
      <c r="L49" s="7"/>
      <c r="M49" s="7"/>
      <c r="P49" s="42" t="s">
        <v>94</v>
      </c>
      <c r="Q49" s="7">
        <v>2.0</v>
      </c>
      <c r="R49" s="1"/>
      <c r="S49" s="7">
        <v>2.0</v>
      </c>
      <c r="T49" s="1"/>
      <c r="U49" s="1"/>
      <c r="V49" s="7"/>
      <c r="W49" s="7"/>
      <c r="X49" s="1"/>
      <c r="Y49" s="1"/>
      <c r="Z49" s="1"/>
      <c r="AA49" s="1"/>
      <c r="AB49" s="7">
        <v>0.0</v>
      </c>
      <c r="AC49" s="7">
        <v>0.0</v>
      </c>
      <c r="AD49" s="15"/>
      <c r="AE49" s="12">
        <v>1.0</v>
      </c>
      <c r="AF49" s="7">
        <v>1.0</v>
      </c>
      <c r="AG49" s="7"/>
      <c r="AJ49" s="1"/>
      <c r="AK49" s="1"/>
      <c r="AL49" s="15"/>
      <c r="AM49" s="1"/>
      <c r="AN49" s="1"/>
      <c r="AO49" s="1"/>
      <c r="AP49" s="15"/>
    </row>
    <row r="50">
      <c r="A50" s="42" t="s">
        <v>95</v>
      </c>
      <c r="B50" s="12">
        <v>2.0</v>
      </c>
      <c r="C50" s="12">
        <v>4.0</v>
      </c>
      <c r="E50" s="7"/>
      <c r="F50" s="12">
        <v>1.0</v>
      </c>
      <c r="G50" s="12">
        <v>1.0</v>
      </c>
      <c r="H50" s="12">
        <v>1.0</v>
      </c>
      <c r="I50" s="2">
        <v>1.0</v>
      </c>
      <c r="J50" s="1"/>
      <c r="K50" s="1"/>
      <c r="L50" s="12">
        <v>1.0</v>
      </c>
      <c r="M50" s="12"/>
      <c r="O50" s="2">
        <v>1.0</v>
      </c>
      <c r="P50" s="42" t="s">
        <v>95</v>
      </c>
      <c r="Q50" s="7">
        <v>8.0</v>
      </c>
      <c r="R50" s="3">
        <v>1.0</v>
      </c>
      <c r="S50" s="7">
        <v>6.0</v>
      </c>
      <c r="T50" s="1"/>
      <c r="U50" s="1"/>
      <c r="V50" s="7"/>
      <c r="W50" s="7"/>
      <c r="X50" s="3">
        <v>1.0</v>
      </c>
      <c r="Y50" s="3">
        <v>2.0</v>
      </c>
      <c r="Z50" s="3">
        <v>4.0</v>
      </c>
      <c r="AA50" s="1"/>
      <c r="AB50" s="7">
        <v>0.0</v>
      </c>
      <c r="AC50" s="7">
        <v>0.0</v>
      </c>
      <c r="AD50" s="6">
        <v>1.0</v>
      </c>
      <c r="AE50" s="7">
        <v>0.0</v>
      </c>
      <c r="AF50" s="7">
        <v>0.0</v>
      </c>
      <c r="AG50" s="12">
        <v>1.0</v>
      </c>
      <c r="AH50" s="2">
        <v>1.0</v>
      </c>
      <c r="AI50" s="2">
        <v>2.0</v>
      </c>
      <c r="AJ50" s="1"/>
      <c r="AK50" s="3">
        <v>1.0</v>
      </c>
      <c r="AL50" s="6"/>
      <c r="AM50" s="1"/>
      <c r="AN50" s="1"/>
      <c r="AO50" s="1"/>
      <c r="AP50" s="6"/>
    </row>
    <row r="51">
      <c r="A51" s="44" t="s">
        <v>96</v>
      </c>
      <c r="B51" s="7"/>
      <c r="C51" s="7"/>
      <c r="E51" s="12"/>
      <c r="F51" s="12"/>
      <c r="G51" s="12"/>
      <c r="H51" s="12"/>
      <c r="J51" s="1"/>
      <c r="K51" s="1"/>
      <c r="L51" s="7"/>
      <c r="M51" s="12"/>
      <c r="P51" s="44" t="s">
        <v>96</v>
      </c>
      <c r="Q51" s="7"/>
      <c r="R51" s="1"/>
      <c r="S51" s="7"/>
      <c r="T51" s="1"/>
      <c r="U51" s="1"/>
      <c r="V51" s="7"/>
      <c r="W51" s="7"/>
      <c r="X51" s="1"/>
      <c r="Y51" s="1"/>
      <c r="Z51" s="1"/>
      <c r="AA51" s="1"/>
      <c r="AB51" s="7"/>
      <c r="AC51" s="7"/>
      <c r="AD51" s="6"/>
      <c r="AE51" s="7"/>
      <c r="AF51" s="7"/>
      <c r="AG51" s="7"/>
      <c r="AH51" s="2">
        <v>1.0</v>
      </c>
      <c r="AJ51" s="1"/>
      <c r="AK51" s="1"/>
      <c r="AL51" s="6"/>
      <c r="AM51" s="1"/>
      <c r="AN51" s="1"/>
      <c r="AO51" s="1"/>
      <c r="AP51" s="6"/>
    </row>
    <row r="52">
      <c r="A52" s="42" t="s">
        <v>97</v>
      </c>
      <c r="B52" s="7"/>
      <c r="C52" s="7"/>
      <c r="E52" s="12">
        <v>1.0</v>
      </c>
      <c r="F52" s="12">
        <v>2.0</v>
      </c>
      <c r="G52" s="12">
        <v>2.0</v>
      </c>
      <c r="H52" s="12">
        <v>3.0</v>
      </c>
      <c r="J52" s="1"/>
      <c r="K52" s="3">
        <v>2.0</v>
      </c>
      <c r="L52" s="7"/>
      <c r="M52" s="12">
        <v>1.0</v>
      </c>
      <c r="P52" s="42" t="s">
        <v>97</v>
      </c>
      <c r="Q52" s="7">
        <v>0.0</v>
      </c>
      <c r="R52" s="1"/>
      <c r="S52" s="7">
        <v>1.0</v>
      </c>
      <c r="T52" s="1"/>
      <c r="U52" s="1"/>
      <c r="V52" s="1"/>
      <c r="W52" s="7"/>
      <c r="X52" s="1"/>
      <c r="Y52" s="1"/>
      <c r="Z52" s="1"/>
      <c r="AA52" s="1"/>
      <c r="AB52" s="7">
        <v>1.0</v>
      </c>
      <c r="AC52" s="7">
        <v>0.0</v>
      </c>
      <c r="AD52" s="6"/>
      <c r="AE52" s="7">
        <v>1.0</v>
      </c>
      <c r="AF52" s="7">
        <v>1.0</v>
      </c>
      <c r="AG52" s="7"/>
      <c r="AJ52" s="1"/>
      <c r="AK52" s="1"/>
      <c r="AL52" s="6"/>
      <c r="AM52" s="1"/>
      <c r="AN52" s="1"/>
      <c r="AO52" s="1"/>
      <c r="AP52" s="6"/>
    </row>
    <row r="53">
      <c r="A53" s="42" t="s">
        <v>98</v>
      </c>
      <c r="B53" s="12">
        <v>12.0</v>
      </c>
      <c r="C53" s="12">
        <v>3.0</v>
      </c>
      <c r="D53" s="2">
        <v>13.0</v>
      </c>
      <c r="E53" s="12">
        <v>2.0</v>
      </c>
      <c r="F53" s="12">
        <v>19.0</v>
      </c>
      <c r="G53" s="12">
        <v>6.0</v>
      </c>
      <c r="H53" s="12">
        <v>6.0</v>
      </c>
      <c r="I53" s="2">
        <v>10.0</v>
      </c>
      <c r="J53" s="1"/>
      <c r="K53" s="1"/>
      <c r="L53" s="12">
        <v>7.0</v>
      </c>
      <c r="M53" s="12">
        <v>7.0</v>
      </c>
      <c r="N53" s="2">
        <v>2.0</v>
      </c>
      <c r="P53" s="42" t="s">
        <v>98</v>
      </c>
      <c r="Q53" s="7">
        <v>22.0</v>
      </c>
      <c r="R53" s="3">
        <v>5.0</v>
      </c>
      <c r="S53" s="7">
        <v>12.0</v>
      </c>
      <c r="T53" s="1"/>
      <c r="U53" s="1"/>
      <c r="V53" s="3">
        <v>1.0</v>
      </c>
      <c r="W53" s="7"/>
      <c r="X53" s="1"/>
      <c r="Y53" s="1"/>
      <c r="Z53" s="1"/>
      <c r="AA53" s="1"/>
      <c r="AB53" s="7">
        <v>4.0</v>
      </c>
      <c r="AC53" s="7">
        <v>8.0</v>
      </c>
      <c r="AD53" s="15"/>
      <c r="AE53" s="7">
        <v>6.0</v>
      </c>
      <c r="AF53" s="7">
        <v>0.0</v>
      </c>
      <c r="AG53" s="7"/>
      <c r="AJ53" s="1"/>
      <c r="AK53" s="1"/>
      <c r="AL53" s="15"/>
      <c r="AM53" s="1"/>
      <c r="AN53" s="1"/>
      <c r="AO53" s="1"/>
      <c r="AP53" s="15"/>
    </row>
    <row r="54">
      <c r="A54" s="43" t="s">
        <v>99</v>
      </c>
      <c r="B54" s="12">
        <v>4.0</v>
      </c>
      <c r="C54" s="7"/>
      <c r="D54" s="2">
        <v>4.0</v>
      </c>
      <c r="E54" s="7"/>
      <c r="F54" s="12">
        <v>5.0</v>
      </c>
      <c r="G54" s="12">
        <v>1.0</v>
      </c>
      <c r="H54" s="12">
        <v>1.0</v>
      </c>
      <c r="I54" s="2">
        <v>4.0</v>
      </c>
      <c r="J54" s="1"/>
      <c r="K54" s="1"/>
      <c r="L54" s="12"/>
      <c r="M54" s="12">
        <v>1.0</v>
      </c>
      <c r="P54" s="43" t="s">
        <v>99</v>
      </c>
      <c r="Q54" s="7">
        <v>1.0</v>
      </c>
      <c r="R54" s="1"/>
      <c r="S54" s="7">
        <v>3.0</v>
      </c>
      <c r="T54" s="1"/>
      <c r="U54" s="1"/>
      <c r="V54" s="1"/>
      <c r="W54" s="7"/>
      <c r="X54" s="1"/>
      <c r="Y54" s="1"/>
      <c r="Z54" s="1"/>
      <c r="AA54" s="1"/>
      <c r="AB54" s="7">
        <v>3.0</v>
      </c>
      <c r="AC54" s="7">
        <v>0.0</v>
      </c>
      <c r="AD54" s="15"/>
      <c r="AE54" s="7">
        <v>0.0</v>
      </c>
      <c r="AF54" s="7">
        <v>0.0</v>
      </c>
      <c r="AG54" s="7"/>
      <c r="AJ54" s="1"/>
      <c r="AK54" s="1"/>
      <c r="AL54" s="15"/>
      <c r="AM54" s="1"/>
      <c r="AN54" s="1"/>
      <c r="AO54" s="1"/>
      <c r="AP54" s="15"/>
    </row>
    <row r="55">
      <c r="A55" s="42" t="s">
        <v>100</v>
      </c>
      <c r="B55" s="12">
        <v>7.0</v>
      </c>
      <c r="C55" s="12">
        <v>26.0</v>
      </c>
      <c r="D55" s="2">
        <v>8.0</v>
      </c>
      <c r="E55" s="12">
        <v>1.0</v>
      </c>
      <c r="F55" s="12">
        <v>2.0</v>
      </c>
      <c r="G55" s="12">
        <v>1.0</v>
      </c>
      <c r="H55" s="12">
        <v>5.0</v>
      </c>
      <c r="I55" s="2">
        <v>2.0</v>
      </c>
      <c r="J55" s="3">
        <v>5.0</v>
      </c>
      <c r="K55" s="3">
        <v>2.0</v>
      </c>
      <c r="L55" s="12">
        <v>8.0</v>
      </c>
      <c r="M55" s="12">
        <v>1.0</v>
      </c>
      <c r="N55" s="2">
        <v>2.0</v>
      </c>
      <c r="P55" s="42" t="s">
        <v>100</v>
      </c>
      <c r="Q55" s="7">
        <v>28.0</v>
      </c>
      <c r="R55" s="12">
        <v>58.0</v>
      </c>
      <c r="S55" s="7">
        <v>13.0</v>
      </c>
      <c r="T55" s="12">
        <v>10.0</v>
      </c>
      <c r="U55" s="7">
        <v>14.0</v>
      </c>
      <c r="V55" s="12">
        <v>7.0</v>
      </c>
      <c r="W55" s="12">
        <v>12.0</v>
      </c>
      <c r="X55" s="3">
        <v>5.0</v>
      </c>
      <c r="Y55" s="3">
        <v>3.0</v>
      </c>
      <c r="Z55" s="3">
        <v>4.0</v>
      </c>
      <c r="AA55" s="3">
        <v>8.0</v>
      </c>
      <c r="AB55" s="7">
        <v>10.0</v>
      </c>
      <c r="AC55" s="7">
        <v>2.0</v>
      </c>
      <c r="AD55" s="10">
        <v>2.0</v>
      </c>
      <c r="AE55" s="7">
        <v>4.0</v>
      </c>
      <c r="AF55" s="7">
        <v>1.0</v>
      </c>
      <c r="AG55" s="12">
        <v>1.0</v>
      </c>
      <c r="AI55" s="2">
        <v>1.0</v>
      </c>
      <c r="AJ55" s="1"/>
      <c r="AK55" s="3">
        <v>2.0</v>
      </c>
      <c r="AL55" s="11"/>
      <c r="AM55" s="1"/>
      <c r="AN55" s="1"/>
      <c r="AO55" s="1"/>
      <c r="AP55" s="10">
        <v>1.0</v>
      </c>
    </row>
    <row r="56">
      <c r="A56" s="43" t="s">
        <v>101</v>
      </c>
      <c r="B56" s="12">
        <v>3.0</v>
      </c>
      <c r="C56" s="7"/>
      <c r="D56" s="2">
        <v>7.0</v>
      </c>
      <c r="E56" s="12">
        <v>9.0</v>
      </c>
      <c r="F56" s="12">
        <v>3.0</v>
      </c>
      <c r="G56" s="12">
        <v>7.0</v>
      </c>
      <c r="H56" s="12">
        <v>3.0</v>
      </c>
      <c r="I56" s="2">
        <v>4.0</v>
      </c>
      <c r="J56" s="1"/>
      <c r="K56" s="1"/>
      <c r="L56" s="12">
        <v>1.0</v>
      </c>
      <c r="M56" s="12">
        <v>7.0</v>
      </c>
      <c r="N56" s="2">
        <v>1.0</v>
      </c>
      <c r="P56" s="43" t="s">
        <v>101</v>
      </c>
      <c r="Q56" s="7">
        <v>2.0</v>
      </c>
      <c r="R56" s="3">
        <v>1.0</v>
      </c>
      <c r="S56" s="7">
        <v>2.0</v>
      </c>
      <c r="T56" s="1"/>
      <c r="U56" s="1"/>
      <c r="V56" s="1"/>
      <c r="W56" s="12">
        <v>1.0</v>
      </c>
      <c r="X56" s="1"/>
      <c r="Y56" s="1"/>
      <c r="Z56" s="1"/>
      <c r="AA56" s="1"/>
      <c r="AB56" s="7">
        <v>1.0</v>
      </c>
      <c r="AC56" s="7">
        <v>1.0</v>
      </c>
      <c r="AD56" s="6"/>
      <c r="AE56" s="7">
        <v>1.0</v>
      </c>
      <c r="AF56" s="7">
        <v>0.0</v>
      </c>
      <c r="AG56" s="7"/>
      <c r="AJ56" s="1"/>
      <c r="AK56" s="1"/>
      <c r="AL56" s="6"/>
      <c r="AM56" s="1"/>
      <c r="AN56" s="1"/>
      <c r="AO56" s="1"/>
      <c r="AP56" s="6"/>
    </row>
    <row r="57">
      <c r="A57" s="44" t="s">
        <v>102</v>
      </c>
      <c r="B57" s="12">
        <v>1.0</v>
      </c>
      <c r="C57" s="12">
        <v>2.0</v>
      </c>
      <c r="E57" s="12">
        <v>1.0</v>
      </c>
      <c r="F57" s="12">
        <v>1.0</v>
      </c>
      <c r="G57" s="7"/>
      <c r="H57" s="7"/>
      <c r="J57" s="3">
        <v>5.0</v>
      </c>
      <c r="K57" s="3">
        <v>6.0</v>
      </c>
      <c r="L57" s="12"/>
      <c r="M57" s="12"/>
      <c r="P57" s="44" t="s">
        <v>102</v>
      </c>
      <c r="Q57" s="7">
        <v>3.0</v>
      </c>
      <c r="R57" s="3">
        <v>10.0</v>
      </c>
      <c r="S57" s="7">
        <v>1.0</v>
      </c>
      <c r="T57" s="1"/>
      <c r="U57" s="1"/>
      <c r="V57" s="3">
        <v>6.0</v>
      </c>
      <c r="W57" s="12">
        <v>2.0</v>
      </c>
      <c r="X57" s="3">
        <v>3.0</v>
      </c>
      <c r="Y57" s="3">
        <v>1.0</v>
      </c>
      <c r="Z57" s="3">
        <v>2.0</v>
      </c>
      <c r="AA57" s="3">
        <v>1.0</v>
      </c>
      <c r="AB57" s="7">
        <v>0.0</v>
      </c>
      <c r="AC57" s="7">
        <v>0.0</v>
      </c>
      <c r="AD57" s="6">
        <v>1.0</v>
      </c>
      <c r="AE57" s="7">
        <v>2.0</v>
      </c>
      <c r="AF57" s="7">
        <v>0.0</v>
      </c>
      <c r="AG57" s="12">
        <v>1.0</v>
      </c>
      <c r="AH57" s="2">
        <v>1.0</v>
      </c>
      <c r="AJ57" s="3">
        <v>1.0</v>
      </c>
      <c r="AK57" s="1"/>
      <c r="AL57" s="15"/>
      <c r="AM57" s="45"/>
      <c r="AN57" s="45"/>
      <c r="AO57" s="45"/>
      <c r="AP57" s="6">
        <v>1.0</v>
      </c>
    </row>
    <row r="58">
      <c r="A58" s="42" t="s">
        <v>103</v>
      </c>
      <c r="B58" s="12"/>
      <c r="C58" s="12">
        <v>9.0</v>
      </c>
      <c r="E58" s="12">
        <v>1.0</v>
      </c>
      <c r="F58" s="7"/>
      <c r="G58" s="12">
        <v>1.0</v>
      </c>
      <c r="H58" s="12">
        <v>3.0</v>
      </c>
      <c r="J58" s="1"/>
      <c r="K58" s="1"/>
      <c r="L58" s="12"/>
      <c r="M58" s="12">
        <v>2.0</v>
      </c>
      <c r="P58" s="42" t="s">
        <v>103</v>
      </c>
      <c r="Q58" s="7">
        <v>10.0</v>
      </c>
      <c r="R58" s="12">
        <v>26.0</v>
      </c>
      <c r="S58" s="7">
        <v>2.0</v>
      </c>
      <c r="T58" s="7"/>
      <c r="U58" s="7">
        <v>6.0</v>
      </c>
      <c r="V58" s="7"/>
      <c r="W58" s="12">
        <v>3.0</v>
      </c>
      <c r="X58" s="3">
        <v>2.0</v>
      </c>
      <c r="Y58" s="3">
        <v>4.0</v>
      </c>
      <c r="Z58" s="3">
        <v>7.0</v>
      </c>
      <c r="AA58" s="3">
        <v>2.0</v>
      </c>
      <c r="AB58" s="7">
        <v>4.0</v>
      </c>
      <c r="AC58" s="7">
        <v>2.0</v>
      </c>
      <c r="AD58" s="11"/>
      <c r="AE58" s="7">
        <v>1.0</v>
      </c>
      <c r="AF58" s="7">
        <v>1.0</v>
      </c>
      <c r="AG58" s="12">
        <v>1.0</v>
      </c>
      <c r="AH58" s="2">
        <v>2.0</v>
      </c>
      <c r="AI58" s="2">
        <v>2.0</v>
      </c>
      <c r="AJ58" s="1"/>
      <c r="AK58" s="3">
        <v>4.0</v>
      </c>
      <c r="AL58" s="11"/>
      <c r="AM58" s="1"/>
      <c r="AN58" s="1"/>
      <c r="AO58" s="1"/>
      <c r="AP58" s="10">
        <v>2.0</v>
      </c>
      <c r="AQ58" s="2">
        <v>1.0</v>
      </c>
    </row>
    <row r="59">
      <c r="A59" s="43" t="s">
        <v>104</v>
      </c>
      <c r="B59" s="12">
        <v>2.0</v>
      </c>
      <c r="C59" s="12">
        <v>1.0</v>
      </c>
      <c r="D59" s="2">
        <v>11.0</v>
      </c>
      <c r="E59" s="7"/>
      <c r="F59" s="12">
        <v>5.0</v>
      </c>
      <c r="G59" s="12">
        <v>5.0</v>
      </c>
      <c r="H59" s="7"/>
      <c r="I59" s="2">
        <v>2.0</v>
      </c>
      <c r="J59" s="1"/>
      <c r="K59" s="1"/>
      <c r="L59" s="12">
        <v>4.0</v>
      </c>
      <c r="M59" s="12">
        <v>11.0</v>
      </c>
      <c r="P59" s="43" t="s">
        <v>104</v>
      </c>
      <c r="Q59" s="7">
        <v>3.0</v>
      </c>
      <c r="R59" s="3">
        <v>2.0</v>
      </c>
      <c r="S59" s="7">
        <v>4.0</v>
      </c>
      <c r="T59" s="1"/>
      <c r="U59" s="1"/>
      <c r="V59" s="1"/>
      <c r="W59" s="7"/>
      <c r="X59" s="1"/>
      <c r="Y59" s="1"/>
      <c r="Z59" s="3">
        <v>1.0</v>
      </c>
      <c r="AA59" s="1"/>
      <c r="AB59" s="7">
        <v>3.0</v>
      </c>
      <c r="AC59" s="7">
        <v>1.0</v>
      </c>
      <c r="AD59" s="6"/>
      <c r="AE59" s="7">
        <v>1.0</v>
      </c>
      <c r="AF59" s="7">
        <v>2.0</v>
      </c>
      <c r="AG59" s="7"/>
      <c r="AJ59" s="1"/>
      <c r="AK59" s="1"/>
      <c r="AL59" s="6"/>
      <c r="AM59" s="1"/>
      <c r="AN59" s="1"/>
      <c r="AO59" s="1"/>
      <c r="AP59" s="6">
        <v>1.0</v>
      </c>
    </row>
    <row r="60">
      <c r="A60" s="46" t="s">
        <v>105</v>
      </c>
      <c r="B60" s="12">
        <v>2.0</v>
      </c>
      <c r="C60" s="12">
        <v>1.0</v>
      </c>
      <c r="D60" s="2">
        <v>9.0</v>
      </c>
      <c r="E60" s="12">
        <v>3.0</v>
      </c>
      <c r="F60" s="12">
        <v>8.0</v>
      </c>
      <c r="G60" s="12">
        <v>4.0</v>
      </c>
      <c r="H60" s="7"/>
      <c r="I60" s="2">
        <v>7.0</v>
      </c>
      <c r="J60" s="1"/>
      <c r="K60" s="1"/>
      <c r="L60" s="12">
        <v>3.0</v>
      </c>
      <c r="M60" s="12">
        <v>9.0</v>
      </c>
      <c r="P60" s="46" t="s">
        <v>105</v>
      </c>
      <c r="Q60" s="7">
        <v>0.0</v>
      </c>
      <c r="R60" s="1"/>
      <c r="S60" s="7">
        <v>2.0</v>
      </c>
      <c r="T60" s="1"/>
      <c r="U60" s="1"/>
      <c r="V60" s="1"/>
      <c r="W60" s="7"/>
      <c r="X60" s="1"/>
      <c r="Y60" s="1"/>
      <c r="Z60" s="1"/>
      <c r="AA60" s="1"/>
      <c r="AB60" s="7">
        <v>1.0</v>
      </c>
      <c r="AC60" s="7">
        <v>5.0</v>
      </c>
      <c r="AD60" s="15"/>
      <c r="AE60" s="7">
        <v>0.0</v>
      </c>
      <c r="AF60" s="7">
        <v>1.0</v>
      </c>
      <c r="AG60" s="7"/>
      <c r="AJ60" s="1"/>
      <c r="AK60" s="1"/>
      <c r="AL60" s="15"/>
      <c r="AM60" s="1"/>
      <c r="AN60" s="1"/>
      <c r="AO60" s="1"/>
      <c r="AP60" s="15"/>
    </row>
    <row r="61">
      <c r="A61" s="46" t="s">
        <v>106</v>
      </c>
      <c r="B61" s="7"/>
      <c r="C61" s="7"/>
      <c r="E61" s="12">
        <v>3.0</v>
      </c>
      <c r="F61" s="7"/>
      <c r="G61" s="7"/>
      <c r="H61" s="12">
        <v>1.0</v>
      </c>
      <c r="J61" s="1"/>
      <c r="K61" s="1"/>
      <c r="L61" s="7"/>
      <c r="M61" s="7"/>
      <c r="P61" s="46" t="s">
        <v>106</v>
      </c>
      <c r="Q61" s="7">
        <v>0.0</v>
      </c>
      <c r="R61" s="1"/>
      <c r="S61" s="7">
        <v>0.0</v>
      </c>
      <c r="T61" s="1"/>
      <c r="U61" s="1"/>
      <c r="V61" s="1"/>
      <c r="W61" s="7"/>
      <c r="X61" s="1"/>
      <c r="Y61" s="1"/>
      <c r="Z61" s="1"/>
      <c r="AA61" s="1"/>
      <c r="AB61" s="7">
        <v>0.0</v>
      </c>
      <c r="AC61" s="7">
        <v>1.0</v>
      </c>
      <c r="AD61" s="15"/>
      <c r="AE61" s="7">
        <v>0.0</v>
      </c>
      <c r="AF61" s="7">
        <v>0.0</v>
      </c>
      <c r="AG61" s="7"/>
      <c r="AJ61" s="1"/>
      <c r="AK61" s="1"/>
      <c r="AL61" s="15"/>
      <c r="AM61" s="1"/>
      <c r="AN61" s="1"/>
      <c r="AO61" s="1"/>
      <c r="AP61" s="15"/>
    </row>
    <row r="62">
      <c r="A62" s="46" t="s">
        <v>107</v>
      </c>
      <c r="B62" s="12">
        <v>3.0</v>
      </c>
      <c r="C62" s="12">
        <v>1.0</v>
      </c>
      <c r="E62" s="7"/>
      <c r="F62" s="12">
        <v>3.0</v>
      </c>
      <c r="G62" s="12">
        <v>3.0</v>
      </c>
      <c r="H62" s="7"/>
      <c r="I62" s="2">
        <v>1.0</v>
      </c>
      <c r="J62" s="1"/>
      <c r="K62" s="1"/>
      <c r="L62" s="12">
        <v>2.0</v>
      </c>
      <c r="M62" s="12">
        <v>2.0</v>
      </c>
      <c r="O62" s="2">
        <v>1.0</v>
      </c>
      <c r="P62" s="46" t="s">
        <v>107</v>
      </c>
      <c r="Q62" s="7">
        <v>4.0</v>
      </c>
      <c r="R62" s="3">
        <v>1.0</v>
      </c>
      <c r="S62" s="7">
        <v>2.0</v>
      </c>
      <c r="T62" s="1"/>
      <c r="U62" s="1"/>
      <c r="V62" s="1"/>
      <c r="W62" s="7"/>
      <c r="X62" s="1"/>
      <c r="Y62" s="1"/>
      <c r="Z62" s="1"/>
      <c r="AA62" s="3">
        <v>1.0</v>
      </c>
      <c r="AB62" s="7">
        <v>1.0</v>
      </c>
      <c r="AC62" s="7">
        <v>2.0</v>
      </c>
      <c r="AD62" s="15"/>
      <c r="AE62" s="7">
        <v>2.0</v>
      </c>
      <c r="AF62" s="7">
        <v>0.0</v>
      </c>
      <c r="AG62" s="7"/>
      <c r="AJ62" s="1"/>
      <c r="AK62" s="3">
        <v>1.0</v>
      </c>
      <c r="AL62" s="15"/>
      <c r="AM62" s="1"/>
      <c r="AN62" s="1"/>
      <c r="AO62" s="3">
        <v>1.0</v>
      </c>
      <c r="AP62" s="6">
        <v>2.0</v>
      </c>
    </row>
    <row r="63">
      <c r="A63" s="46" t="s">
        <v>108</v>
      </c>
      <c r="B63" s="12">
        <v>3.0</v>
      </c>
      <c r="C63" s="12">
        <v>1.0</v>
      </c>
      <c r="E63" s="12">
        <v>2.0</v>
      </c>
      <c r="F63" s="7"/>
      <c r="G63" s="12">
        <v>4.0</v>
      </c>
      <c r="H63" s="12">
        <v>1.0</v>
      </c>
      <c r="I63" s="2">
        <v>4.0</v>
      </c>
      <c r="J63" s="1"/>
      <c r="K63" s="1"/>
      <c r="L63" s="12">
        <v>1.0</v>
      </c>
      <c r="M63" s="12">
        <v>2.0</v>
      </c>
      <c r="P63" s="46" t="s">
        <v>108</v>
      </c>
      <c r="Q63" s="7">
        <v>2.0</v>
      </c>
      <c r="R63" s="1"/>
      <c r="S63" s="7">
        <v>8.0</v>
      </c>
      <c r="T63" s="1"/>
      <c r="U63" s="1"/>
      <c r="V63" s="1"/>
      <c r="W63" s="7"/>
      <c r="X63" s="1"/>
      <c r="Y63" s="1"/>
      <c r="Z63" s="1"/>
      <c r="AA63" s="3">
        <v>1.0</v>
      </c>
      <c r="AB63" s="7">
        <v>1.0</v>
      </c>
      <c r="AC63" s="7">
        <v>1.0</v>
      </c>
      <c r="AD63" s="15"/>
      <c r="AE63" s="7">
        <v>1.0</v>
      </c>
      <c r="AF63" s="7">
        <v>0.0</v>
      </c>
      <c r="AG63" s="12">
        <v>1.0</v>
      </c>
      <c r="AJ63" s="1"/>
      <c r="AK63" s="3">
        <v>1.0</v>
      </c>
      <c r="AL63" s="15"/>
      <c r="AM63" s="1"/>
      <c r="AN63" s="1"/>
      <c r="AO63" s="1"/>
      <c r="AP63" s="15"/>
    </row>
    <row r="64">
      <c r="A64" s="47" t="s">
        <v>109</v>
      </c>
      <c r="B64" s="12">
        <v>1.0</v>
      </c>
      <c r="C64" s="12">
        <v>3.0</v>
      </c>
      <c r="E64" s="7"/>
      <c r="F64" s="12">
        <v>2.0</v>
      </c>
      <c r="G64" s="12">
        <v>2.0</v>
      </c>
      <c r="H64" s="12">
        <v>1.0</v>
      </c>
      <c r="J64" s="1"/>
      <c r="K64" s="3">
        <v>3.0</v>
      </c>
      <c r="L64" s="12"/>
      <c r="M64" s="12">
        <v>1.0</v>
      </c>
      <c r="P64" s="47" t="s">
        <v>109</v>
      </c>
      <c r="Q64" s="7">
        <v>1.0</v>
      </c>
      <c r="R64" s="1"/>
      <c r="S64" s="7">
        <v>3.0</v>
      </c>
      <c r="T64" s="1"/>
      <c r="U64" s="1"/>
      <c r="V64" s="1"/>
      <c r="W64" s="12">
        <v>1.0</v>
      </c>
      <c r="X64" s="3">
        <v>0.0</v>
      </c>
      <c r="Y64" s="3">
        <v>0.0</v>
      </c>
      <c r="Z64" s="3">
        <v>0.0</v>
      </c>
      <c r="AA64" s="3">
        <v>0.0</v>
      </c>
      <c r="AB64" s="7">
        <v>0.0</v>
      </c>
      <c r="AC64" s="7">
        <v>0.0</v>
      </c>
      <c r="AD64" s="15"/>
      <c r="AE64" s="7">
        <v>0.0</v>
      </c>
      <c r="AF64" s="7">
        <v>1.0</v>
      </c>
      <c r="AG64" s="7"/>
      <c r="AH64" s="2">
        <v>1.0</v>
      </c>
      <c r="AJ64" s="1"/>
      <c r="AK64" s="1"/>
      <c r="AL64" s="15"/>
      <c r="AM64" s="1"/>
      <c r="AN64" s="1"/>
      <c r="AO64" s="1"/>
      <c r="AP64" s="15"/>
    </row>
    <row r="65">
      <c r="A65" s="47" t="s">
        <v>110</v>
      </c>
      <c r="B65" s="12">
        <v>2.0</v>
      </c>
      <c r="C65" s="12">
        <v>15.0</v>
      </c>
      <c r="E65" s="7"/>
      <c r="F65" s="12">
        <v>1.0</v>
      </c>
      <c r="G65" s="12">
        <v>2.0</v>
      </c>
      <c r="H65" s="7"/>
      <c r="I65" s="2">
        <v>3.0</v>
      </c>
      <c r="J65" s="3">
        <v>16.0</v>
      </c>
      <c r="K65" s="3">
        <v>16.0</v>
      </c>
      <c r="L65" s="12"/>
      <c r="M65" s="12"/>
      <c r="N65" s="2">
        <v>5.0</v>
      </c>
      <c r="P65" s="47" t="s">
        <v>110</v>
      </c>
      <c r="Q65" s="7">
        <v>28.0</v>
      </c>
      <c r="R65" s="3">
        <v>83.0</v>
      </c>
      <c r="S65" s="7">
        <v>22.0</v>
      </c>
      <c r="T65" s="3">
        <v>22.0</v>
      </c>
      <c r="U65" s="1"/>
      <c r="V65" s="3">
        <v>15.0</v>
      </c>
      <c r="W65" s="12">
        <v>19.0</v>
      </c>
      <c r="X65" s="3">
        <v>20.0</v>
      </c>
      <c r="Y65" s="3">
        <v>16.0</v>
      </c>
      <c r="Z65" s="3">
        <v>15.0</v>
      </c>
      <c r="AA65" s="3">
        <v>9.0</v>
      </c>
      <c r="AB65" s="7">
        <v>8.0</v>
      </c>
      <c r="AC65" s="7">
        <v>12.0</v>
      </c>
      <c r="AD65" s="15"/>
      <c r="AE65" s="7">
        <v>12.0</v>
      </c>
      <c r="AF65" s="7">
        <v>1.0</v>
      </c>
      <c r="AG65" s="12">
        <v>6.0</v>
      </c>
      <c r="AH65" s="2">
        <v>2.0</v>
      </c>
      <c r="AI65" s="2">
        <v>6.0</v>
      </c>
      <c r="AJ65" s="1"/>
      <c r="AK65" s="3">
        <v>2.0</v>
      </c>
      <c r="AL65" s="15"/>
      <c r="AM65" s="1"/>
      <c r="AN65" s="3">
        <v>1.0</v>
      </c>
      <c r="AO65" s="1"/>
      <c r="AP65" s="6">
        <v>6.0</v>
      </c>
    </row>
    <row r="66">
      <c r="A66" s="47" t="s">
        <v>111</v>
      </c>
      <c r="B66" s="12">
        <v>1.0</v>
      </c>
      <c r="C66" s="12">
        <v>8.0</v>
      </c>
      <c r="E66" s="12">
        <v>3.0</v>
      </c>
      <c r="F66" s="12">
        <v>8.0</v>
      </c>
      <c r="G66" s="12">
        <v>5.0</v>
      </c>
      <c r="H66" s="12">
        <v>12.0</v>
      </c>
      <c r="I66" s="2">
        <v>1.0</v>
      </c>
      <c r="J66" s="3">
        <v>4.0</v>
      </c>
      <c r="K66" s="3">
        <v>7.0</v>
      </c>
      <c r="L66" s="12">
        <v>3.0</v>
      </c>
      <c r="M66" s="12"/>
      <c r="N66" s="2">
        <v>6.0</v>
      </c>
      <c r="P66" s="47" t="s">
        <v>111</v>
      </c>
      <c r="Q66" s="7">
        <v>9.0</v>
      </c>
      <c r="R66" s="3">
        <v>14.0</v>
      </c>
      <c r="S66" s="7">
        <v>25.0</v>
      </c>
      <c r="T66" s="1"/>
      <c r="U66" s="1"/>
      <c r="V66" s="12"/>
      <c r="W66" s="12">
        <v>1.0</v>
      </c>
      <c r="X66" s="3">
        <v>1.0</v>
      </c>
      <c r="Y66" s="3">
        <v>4.0</v>
      </c>
      <c r="Z66" s="3">
        <v>1.0</v>
      </c>
      <c r="AA66" s="3">
        <v>0.0</v>
      </c>
      <c r="AB66" s="7">
        <v>8.0</v>
      </c>
      <c r="AC66" s="7">
        <v>0.0</v>
      </c>
      <c r="AD66" s="15"/>
      <c r="AE66" s="7">
        <v>13.0</v>
      </c>
      <c r="AF66" s="7">
        <v>1.0</v>
      </c>
      <c r="AG66" s="7"/>
      <c r="AH66" s="2">
        <v>3.0</v>
      </c>
      <c r="AI66" s="2">
        <v>2.0</v>
      </c>
      <c r="AJ66" s="1"/>
      <c r="AK66" s="3">
        <v>2.0</v>
      </c>
      <c r="AL66" s="6">
        <v>1.0</v>
      </c>
      <c r="AM66" s="1"/>
      <c r="AN66" s="1"/>
      <c r="AO66" s="1"/>
      <c r="AP66" s="15"/>
    </row>
    <row r="67">
      <c r="A67" s="47" t="s">
        <v>112</v>
      </c>
      <c r="B67" s="7"/>
      <c r="C67" s="7"/>
      <c r="E67" s="7"/>
      <c r="F67" s="7"/>
      <c r="G67" s="7"/>
      <c r="H67" s="7"/>
      <c r="J67" s="1"/>
      <c r="K67" s="3">
        <v>1.0</v>
      </c>
      <c r="L67" s="7"/>
      <c r="M67" s="7"/>
      <c r="P67" s="47" t="s">
        <v>112</v>
      </c>
      <c r="Q67" s="7">
        <v>2.0</v>
      </c>
      <c r="R67" s="1"/>
      <c r="S67" s="7">
        <v>0.0</v>
      </c>
      <c r="T67" s="1"/>
      <c r="U67" s="1"/>
      <c r="V67" s="7"/>
      <c r="W67" s="7"/>
      <c r="X67" s="3">
        <v>0.0</v>
      </c>
      <c r="Y67" s="3">
        <v>0.0</v>
      </c>
      <c r="Z67" s="3">
        <v>0.0</v>
      </c>
      <c r="AA67" s="3">
        <v>0.0</v>
      </c>
      <c r="AB67" s="7">
        <v>0.0</v>
      </c>
      <c r="AC67" s="7">
        <v>0.0</v>
      </c>
      <c r="AD67" s="15"/>
      <c r="AE67" s="7">
        <v>1.0</v>
      </c>
      <c r="AF67" s="7">
        <v>2.0</v>
      </c>
      <c r="AG67" s="7"/>
      <c r="AJ67" s="1"/>
      <c r="AK67" s="1"/>
      <c r="AL67" s="15"/>
      <c r="AM67" s="1"/>
      <c r="AN67" s="1"/>
      <c r="AO67" s="1"/>
      <c r="AP67" s="15"/>
    </row>
    <row r="68">
      <c r="A68" s="47" t="s">
        <v>113</v>
      </c>
      <c r="B68" s="12">
        <v>1.0</v>
      </c>
      <c r="C68" s="12">
        <v>5.0</v>
      </c>
      <c r="E68" s="12">
        <v>2.0</v>
      </c>
      <c r="F68" s="12">
        <v>4.0</v>
      </c>
      <c r="G68" s="12">
        <v>1.0</v>
      </c>
      <c r="H68" s="12">
        <v>4.0</v>
      </c>
      <c r="I68" s="2">
        <v>7.0</v>
      </c>
      <c r="J68" s="3">
        <v>2.0</v>
      </c>
      <c r="K68" s="3">
        <v>5.0</v>
      </c>
      <c r="L68" s="12">
        <v>3.0</v>
      </c>
      <c r="M68" s="12">
        <v>1.0</v>
      </c>
      <c r="P68" s="47" t="s">
        <v>113</v>
      </c>
      <c r="Q68" s="7">
        <v>6.0</v>
      </c>
      <c r="R68" s="3">
        <v>13.0</v>
      </c>
      <c r="S68" s="7">
        <v>8.0</v>
      </c>
      <c r="T68" s="1"/>
      <c r="U68" s="1"/>
      <c r="V68" s="7"/>
      <c r="W68" s="7"/>
      <c r="X68" s="3">
        <v>2.0</v>
      </c>
      <c r="Y68" s="3">
        <v>3.0</v>
      </c>
      <c r="Z68" s="3">
        <v>1.0</v>
      </c>
      <c r="AA68" s="3">
        <v>1.0</v>
      </c>
      <c r="AB68" s="7">
        <v>4.0</v>
      </c>
      <c r="AC68" s="7">
        <v>0.0</v>
      </c>
      <c r="AD68" s="15"/>
      <c r="AE68" s="7">
        <v>0.0</v>
      </c>
      <c r="AF68" s="7">
        <v>1.0</v>
      </c>
      <c r="AG68" s="7"/>
      <c r="AH68" s="2">
        <v>1.0</v>
      </c>
      <c r="AJ68" s="1"/>
      <c r="AK68" s="1"/>
      <c r="AL68" s="15"/>
      <c r="AM68" s="7"/>
      <c r="AN68" s="7"/>
      <c r="AO68" s="7"/>
      <c r="AP68" s="6">
        <v>2.0</v>
      </c>
    </row>
    <row r="69">
      <c r="A69" s="49" t="s">
        <v>114</v>
      </c>
      <c r="B69" s="7"/>
      <c r="C69" s="7"/>
      <c r="E69" s="7"/>
      <c r="F69" s="7"/>
      <c r="G69" s="7"/>
      <c r="H69" s="7"/>
      <c r="J69" s="1"/>
      <c r="K69" s="1"/>
      <c r="L69" s="12">
        <v>4.0</v>
      </c>
      <c r="M69" s="7"/>
      <c r="P69" s="49" t="s">
        <v>114</v>
      </c>
      <c r="Q69" s="7">
        <v>2.0</v>
      </c>
      <c r="R69" s="1"/>
      <c r="S69" s="7">
        <v>0.0</v>
      </c>
      <c r="T69" s="1"/>
      <c r="U69" s="1"/>
      <c r="V69" s="12"/>
      <c r="W69" s="12">
        <v>1.0</v>
      </c>
      <c r="X69" s="3">
        <v>1.0</v>
      </c>
      <c r="Y69" s="1"/>
      <c r="Z69" s="1"/>
      <c r="AA69" s="1"/>
      <c r="AB69" s="7">
        <v>0.0</v>
      </c>
      <c r="AC69" s="7">
        <v>0.0</v>
      </c>
      <c r="AD69" s="15"/>
      <c r="AE69" s="7">
        <v>0.0</v>
      </c>
      <c r="AF69" s="7">
        <v>0.0</v>
      </c>
      <c r="AG69" s="7"/>
      <c r="AJ69" s="1"/>
      <c r="AK69" s="1"/>
      <c r="AL69" s="15"/>
      <c r="AM69" s="1"/>
      <c r="AN69" s="1"/>
      <c r="AO69" s="1"/>
      <c r="AP69" s="15"/>
    </row>
    <row r="70">
      <c r="A70" s="49" t="s">
        <v>115</v>
      </c>
      <c r="B70" s="12">
        <v>1.0</v>
      </c>
      <c r="C70" s="7"/>
      <c r="E70" s="12">
        <v>2.0</v>
      </c>
      <c r="F70" s="12">
        <v>1.0</v>
      </c>
      <c r="G70" s="12">
        <v>2.0</v>
      </c>
      <c r="H70" s="12">
        <v>1.0</v>
      </c>
      <c r="I70" s="2">
        <v>2.0</v>
      </c>
      <c r="J70" s="1"/>
      <c r="K70" s="1"/>
      <c r="L70" s="12">
        <v>6.0</v>
      </c>
      <c r="M70" s="12">
        <v>1.0</v>
      </c>
      <c r="N70" s="2">
        <v>2.0</v>
      </c>
      <c r="P70" s="49" t="s">
        <v>115</v>
      </c>
      <c r="Q70" s="7">
        <v>9.0</v>
      </c>
      <c r="R70" s="3">
        <v>5.0</v>
      </c>
      <c r="S70" s="7">
        <v>4.0</v>
      </c>
      <c r="T70" s="1"/>
      <c r="U70" s="1"/>
      <c r="V70" s="12"/>
      <c r="W70" s="12">
        <v>1.0</v>
      </c>
      <c r="X70" s="1"/>
      <c r="Y70" s="3">
        <v>1.0</v>
      </c>
      <c r="Z70" s="1"/>
      <c r="AA70" s="3">
        <v>1.0</v>
      </c>
      <c r="AB70" s="7">
        <v>5.0</v>
      </c>
      <c r="AC70" s="7">
        <v>0.0</v>
      </c>
      <c r="AD70" s="6">
        <v>1.0</v>
      </c>
      <c r="AE70" s="7">
        <v>1.0</v>
      </c>
      <c r="AF70" s="7">
        <v>1.0</v>
      </c>
      <c r="AG70" s="12">
        <v>1.0</v>
      </c>
      <c r="AH70" s="2">
        <v>2.0</v>
      </c>
      <c r="AI70" s="2">
        <v>2.0</v>
      </c>
      <c r="AJ70" s="3">
        <v>1.0</v>
      </c>
      <c r="AK70" s="1"/>
      <c r="AL70" s="15"/>
      <c r="AM70" s="3">
        <v>1.0</v>
      </c>
      <c r="AN70" s="1"/>
      <c r="AO70" s="1"/>
      <c r="AP70" s="15"/>
    </row>
    <row r="71">
      <c r="A71" s="48" t="s">
        <v>116</v>
      </c>
      <c r="B71" s="2">
        <v>2.0</v>
      </c>
      <c r="C71" s="2">
        <v>4.0</v>
      </c>
      <c r="E71" s="2">
        <v>3.0</v>
      </c>
      <c r="F71" s="2"/>
      <c r="G71" s="2"/>
      <c r="H71" s="2"/>
      <c r="I71" s="2">
        <v>6.0</v>
      </c>
      <c r="L71" s="2">
        <v>3.0</v>
      </c>
      <c r="M71" s="2">
        <v>8.0</v>
      </c>
      <c r="N71" s="2">
        <v>1.0</v>
      </c>
      <c r="P71" s="48" t="s">
        <v>116</v>
      </c>
      <c r="Q71" s="2">
        <v>4.0</v>
      </c>
      <c r="R71" s="2">
        <v>1.0</v>
      </c>
      <c r="S71" s="2">
        <v>7.0</v>
      </c>
      <c r="AB71" s="2">
        <v>4.0</v>
      </c>
      <c r="AC71" s="2">
        <v>1.0</v>
      </c>
      <c r="AD71" s="2"/>
      <c r="AE71" s="2">
        <v>3.0</v>
      </c>
      <c r="AL71" s="2"/>
      <c r="AP71" s="2"/>
    </row>
    <row r="72">
      <c r="A72" s="49" t="s">
        <v>117</v>
      </c>
      <c r="B72" s="12">
        <v>1.0</v>
      </c>
      <c r="C72" s="12">
        <v>1.0</v>
      </c>
      <c r="E72" s="12">
        <v>3.0</v>
      </c>
      <c r="F72" s="12">
        <v>8.0</v>
      </c>
      <c r="G72" s="12">
        <v>3.0</v>
      </c>
      <c r="H72" s="12">
        <v>8.0</v>
      </c>
      <c r="I72" s="2">
        <v>2.0</v>
      </c>
      <c r="J72" s="1"/>
      <c r="K72" s="1"/>
      <c r="L72" s="12">
        <v>1.0</v>
      </c>
      <c r="M72" s="12">
        <v>1.0</v>
      </c>
      <c r="N72" s="2">
        <v>9.0</v>
      </c>
      <c r="P72" s="49" t="s">
        <v>117</v>
      </c>
      <c r="Q72" s="7">
        <v>6.0</v>
      </c>
      <c r="R72" s="3">
        <v>1.0</v>
      </c>
      <c r="S72" s="7">
        <v>5.0</v>
      </c>
      <c r="T72" s="1"/>
      <c r="U72" s="1"/>
      <c r="V72" s="12"/>
      <c r="W72" s="12">
        <v>1.0</v>
      </c>
      <c r="X72" s="3">
        <v>2.0</v>
      </c>
      <c r="Y72" s="3">
        <v>1.0</v>
      </c>
      <c r="Z72" s="3">
        <v>0.0</v>
      </c>
      <c r="AA72" s="3">
        <v>0.0</v>
      </c>
      <c r="AB72" s="7">
        <v>4.0</v>
      </c>
      <c r="AC72" s="7">
        <v>1.0</v>
      </c>
      <c r="AD72" s="15"/>
      <c r="AE72" s="7">
        <v>1.0</v>
      </c>
      <c r="AF72" s="7">
        <v>0.0</v>
      </c>
      <c r="AG72" s="7"/>
      <c r="AJ72" s="1"/>
      <c r="AK72" s="1"/>
      <c r="AL72" s="15"/>
      <c r="AM72" s="1"/>
      <c r="AN72" s="1"/>
      <c r="AO72" s="1"/>
      <c r="AP72" s="6">
        <v>1.0</v>
      </c>
    </row>
    <row r="73">
      <c r="A73" s="49" t="s">
        <v>118</v>
      </c>
      <c r="B73" s="12">
        <v>5.0</v>
      </c>
      <c r="C73" s="12">
        <v>19.0</v>
      </c>
      <c r="D73" s="2">
        <v>13.0</v>
      </c>
      <c r="E73" s="12">
        <v>4.0</v>
      </c>
      <c r="F73" s="12">
        <v>6.0</v>
      </c>
      <c r="G73" s="12">
        <v>20.0</v>
      </c>
      <c r="H73" s="12">
        <v>5.0</v>
      </c>
      <c r="I73" s="2">
        <v>9.0</v>
      </c>
      <c r="J73" s="3">
        <v>3.0</v>
      </c>
      <c r="K73" s="3">
        <v>5.0</v>
      </c>
      <c r="L73" s="12">
        <v>19.0</v>
      </c>
      <c r="M73" s="12">
        <v>24.0</v>
      </c>
      <c r="N73" s="2">
        <v>2.0</v>
      </c>
      <c r="P73" s="49" t="s">
        <v>118</v>
      </c>
      <c r="Q73" s="7">
        <v>29.0</v>
      </c>
      <c r="R73" s="12">
        <v>44.0</v>
      </c>
      <c r="S73" s="7">
        <v>45.0</v>
      </c>
      <c r="T73" s="12">
        <v>11.0</v>
      </c>
      <c r="U73" s="7">
        <v>11.0</v>
      </c>
      <c r="V73" s="12">
        <v>10.0</v>
      </c>
      <c r="W73" s="12">
        <v>11.0</v>
      </c>
      <c r="X73" s="3">
        <v>11.0</v>
      </c>
      <c r="Y73" s="3">
        <v>9.0</v>
      </c>
      <c r="Z73" s="3">
        <v>16.0</v>
      </c>
      <c r="AA73" s="3">
        <v>8.0</v>
      </c>
      <c r="AB73" s="7">
        <v>20.0</v>
      </c>
      <c r="AC73" s="7">
        <v>17.0</v>
      </c>
      <c r="AD73" s="10">
        <v>3.0</v>
      </c>
      <c r="AE73" s="7">
        <v>11.0</v>
      </c>
      <c r="AF73" s="7">
        <v>5.0</v>
      </c>
      <c r="AG73" s="12">
        <v>2.0</v>
      </c>
      <c r="AH73" s="2">
        <v>1.0</v>
      </c>
      <c r="AI73" s="2">
        <v>3.0</v>
      </c>
      <c r="AJ73" s="1"/>
      <c r="AK73" s="3">
        <v>2.0</v>
      </c>
      <c r="AL73" s="10"/>
      <c r="AM73" s="1"/>
      <c r="AN73" s="1"/>
      <c r="AO73" s="3">
        <v>2.0</v>
      </c>
      <c r="AP73" s="10">
        <v>7.0</v>
      </c>
      <c r="AQ73" s="2">
        <v>1.0</v>
      </c>
    </row>
    <row r="74">
      <c r="A74" s="50" t="s">
        <v>119</v>
      </c>
      <c r="B74" s="12">
        <v>1.0</v>
      </c>
      <c r="C74" s="7"/>
      <c r="D74" s="2">
        <v>5.0</v>
      </c>
      <c r="E74" s="12"/>
      <c r="F74" s="12">
        <v>2.0</v>
      </c>
      <c r="G74" s="12">
        <v>2.0</v>
      </c>
      <c r="H74" s="12"/>
      <c r="I74" s="2">
        <v>1.0</v>
      </c>
      <c r="J74" s="1"/>
      <c r="K74" s="1"/>
      <c r="L74" s="12">
        <v>2.0</v>
      </c>
      <c r="M74" s="12">
        <v>4.0</v>
      </c>
      <c r="P74" s="50" t="s">
        <v>119</v>
      </c>
      <c r="Q74" s="12">
        <v>5.0</v>
      </c>
      <c r="R74" s="3">
        <v>1.0</v>
      </c>
      <c r="S74" s="12">
        <v>4.0</v>
      </c>
      <c r="T74" s="1"/>
      <c r="U74" s="1"/>
      <c r="V74" s="1"/>
      <c r="W74" s="7"/>
      <c r="X74" s="3"/>
      <c r="Y74" s="3"/>
      <c r="Z74" s="3"/>
      <c r="AA74" s="3"/>
      <c r="AB74" s="7"/>
      <c r="AC74" s="12">
        <v>3.0</v>
      </c>
      <c r="AD74" s="6"/>
      <c r="AE74" s="12">
        <v>2.0</v>
      </c>
      <c r="AF74" s="7"/>
      <c r="AG74" s="7"/>
      <c r="AJ74" s="1"/>
      <c r="AK74" s="1"/>
      <c r="AL74" s="6">
        <v>2.0</v>
      </c>
      <c r="AM74" s="1"/>
      <c r="AN74" s="1"/>
      <c r="AO74" s="1"/>
      <c r="AP74" s="6"/>
    </row>
    <row r="75">
      <c r="A75" s="50" t="s">
        <v>120</v>
      </c>
      <c r="B75" s="12">
        <v>6.0</v>
      </c>
      <c r="C75" s="7"/>
      <c r="D75" s="2">
        <v>4.0</v>
      </c>
      <c r="E75" s="12">
        <v>2.0</v>
      </c>
      <c r="F75" s="12">
        <v>3.0</v>
      </c>
      <c r="G75" s="12">
        <v>1.0</v>
      </c>
      <c r="H75" s="12">
        <v>3.0</v>
      </c>
      <c r="I75" s="2">
        <v>2.0</v>
      </c>
      <c r="J75" s="1"/>
      <c r="K75" s="1"/>
      <c r="L75" s="12">
        <v>2.0</v>
      </c>
      <c r="M75" s="12">
        <v>5.0</v>
      </c>
      <c r="P75" s="50" t="s">
        <v>120</v>
      </c>
      <c r="Q75" s="12">
        <v>4.0</v>
      </c>
      <c r="R75" s="3">
        <v>6.0</v>
      </c>
      <c r="S75" s="12">
        <v>4.0</v>
      </c>
      <c r="T75" s="1"/>
      <c r="U75" s="1"/>
      <c r="V75" s="1"/>
      <c r="W75" s="7"/>
      <c r="X75" s="1"/>
      <c r="Y75" s="1"/>
      <c r="Z75" s="1"/>
      <c r="AA75" s="1"/>
      <c r="AB75" s="7"/>
      <c r="AC75" s="12">
        <v>4.0</v>
      </c>
      <c r="AD75" s="6">
        <v>1.0</v>
      </c>
      <c r="AE75" s="12">
        <v>5.0</v>
      </c>
      <c r="AF75" s="7"/>
      <c r="AG75" s="12">
        <v>1.0</v>
      </c>
      <c r="AJ75" s="1"/>
      <c r="AK75" s="1"/>
      <c r="AL75" s="15"/>
      <c r="AM75" s="3">
        <v>1.0</v>
      </c>
      <c r="AN75" s="1"/>
      <c r="AO75" s="1"/>
      <c r="AP75" s="15"/>
    </row>
    <row r="76">
      <c r="A76" s="51" t="s">
        <v>121</v>
      </c>
      <c r="B76" s="12">
        <v>2.0</v>
      </c>
      <c r="C76" s="7"/>
      <c r="E76" s="7"/>
      <c r="F76" s="12">
        <v>1.0</v>
      </c>
      <c r="G76" s="12">
        <v>1.0</v>
      </c>
      <c r="H76" s="7"/>
      <c r="I76" s="2">
        <v>1.0</v>
      </c>
      <c r="J76" s="1"/>
      <c r="K76" s="1"/>
      <c r="L76" s="12">
        <v>1.0</v>
      </c>
      <c r="M76" s="12">
        <v>2.0</v>
      </c>
      <c r="P76" s="51" t="s">
        <v>121</v>
      </c>
      <c r="Q76" s="7">
        <v>0.0</v>
      </c>
      <c r="R76" s="1"/>
      <c r="S76" s="7">
        <v>1.0</v>
      </c>
      <c r="T76" s="1"/>
      <c r="U76" s="1"/>
      <c r="V76" s="1"/>
      <c r="W76" s="7"/>
      <c r="X76" s="1"/>
      <c r="Y76" s="1"/>
      <c r="Z76" s="1"/>
      <c r="AA76" s="1"/>
      <c r="AB76" s="7">
        <v>1.0</v>
      </c>
      <c r="AC76" s="7">
        <v>0.0</v>
      </c>
      <c r="AD76" s="15"/>
      <c r="AE76" s="7">
        <v>0.0</v>
      </c>
      <c r="AF76" s="7">
        <v>0.0</v>
      </c>
      <c r="AG76" s="7"/>
      <c r="AJ76" s="1"/>
      <c r="AK76" s="1"/>
      <c r="AL76" s="15"/>
      <c r="AM76" s="1"/>
      <c r="AN76" s="1"/>
      <c r="AO76" s="1"/>
      <c r="AP76" s="15"/>
    </row>
    <row r="77">
      <c r="A77" s="51" t="s">
        <v>122</v>
      </c>
      <c r="B77" s="7"/>
      <c r="C77" s="7"/>
      <c r="E77" s="12">
        <v>2.0</v>
      </c>
      <c r="F77" s="12">
        <v>3.0</v>
      </c>
      <c r="G77" s="12">
        <v>2.0</v>
      </c>
      <c r="H77" s="12">
        <v>1.0</v>
      </c>
      <c r="I77" s="2">
        <v>5.0</v>
      </c>
      <c r="J77" s="1"/>
      <c r="K77" s="1"/>
      <c r="L77" s="12">
        <v>1.0</v>
      </c>
      <c r="M77" s="12">
        <v>1.0</v>
      </c>
      <c r="N77" s="2">
        <v>1.0</v>
      </c>
      <c r="P77" s="51" t="s">
        <v>122</v>
      </c>
      <c r="Q77" s="7">
        <v>0.0</v>
      </c>
      <c r="R77" s="3">
        <v>1.0</v>
      </c>
      <c r="S77" s="7">
        <v>4.0</v>
      </c>
      <c r="T77" s="1"/>
      <c r="U77" s="1"/>
      <c r="V77" s="1"/>
      <c r="W77" s="7"/>
      <c r="X77" s="1"/>
      <c r="Y77" s="1"/>
      <c r="Z77" s="1"/>
      <c r="AA77" s="1"/>
      <c r="AB77" s="7">
        <v>0.0</v>
      </c>
      <c r="AC77" s="7">
        <v>0.0</v>
      </c>
      <c r="AD77" s="6"/>
      <c r="AE77" s="7">
        <v>0.0</v>
      </c>
      <c r="AF77" s="7">
        <v>0.0</v>
      </c>
      <c r="AG77" s="7"/>
      <c r="AJ77" s="1"/>
      <c r="AK77" s="1"/>
      <c r="AL77" s="6"/>
      <c r="AM77" s="1"/>
      <c r="AN77" s="1"/>
      <c r="AO77" s="1"/>
      <c r="AP77" s="6"/>
    </row>
    <row r="78">
      <c r="A78" s="49" t="s">
        <v>123</v>
      </c>
      <c r="B78" s="12">
        <v>1.0</v>
      </c>
      <c r="C78" s="12">
        <v>13.0</v>
      </c>
      <c r="D78" s="2">
        <v>7.0</v>
      </c>
      <c r="E78" s="12">
        <v>1.0</v>
      </c>
      <c r="F78" s="12">
        <v>1.0</v>
      </c>
      <c r="G78" s="12">
        <v>6.0</v>
      </c>
      <c r="H78" s="12">
        <v>3.0</v>
      </c>
      <c r="I78" s="2">
        <v>2.0</v>
      </c>
      <c r="J78" s="3">
        <v>16.0</v>
      </c>
      <c r="K78" s="3">
        <v>8.0</v>
      </c>
      <c r="L78" s="12">
        <v>3.0</v>
      </c>
      <c r="M78" s="12">
        <v>1.0</v>
      </c>
      <c r="N78" s="2">
        <v>9.0</v>
      </c>
      <c r="O78" s="2">
        <v>2.0</v>
      </c>
      <c r="P78" s="49" t="s">
        <v>123</v>
      </c>
      <c r="Q78" s="7">
        <v>62.0</v>
      </c>
      <c r="R78" s="12">
        <v>121.0</v>
      </c>
      <c r="S78" s="7">
        <v>58.0</v>
      </c>
      <c r="T78" s="12">
        <v>28.0</v>
      </c>
      <c r="U78" s="7">
        <v>20.0</v>
      </c>
      <c r="V78" s="12">
        <v>20.0</v>
      </c>
      <c r="W78" s="12">
        <v>3.0</v>
      </c>
      <c r="X78" s="3">
        <v>36.0</v>
      </c>
      <c r="Y78" s="3">
        <v>12.0</v>
      </c>
      <c r="Z78" s="3">
        <v>25.0</v>
      </c>
      <c r="AA78" s="3">
        <v>20.0</v>
      </c>
      <c r="AB78" s="7">
        <v>57.0</v>
      </c>
      <c r="AC78" s="7">
        <v>45.0</v>
      </c>
      <c r="AD78" s="10">
        <v>10.0</v>
      </c>
      <c r="AE78" s="7">
        <v>40.0</v>
      </c>
      <c r="AF78" s="7">
        <v>18.0</v>
      </c>
      <c r="AG78" s="12">
        <v>18.0</v>
      </c>
      <c r="AH78" s="2">
        <v>13.0</v>
      </c>
      <c r="AI78" s="2">
        <v>15.0</v>
      </c>
      <c r="AJ78" s="3">
        <v>9.0</v>
      </c>
      <c r="AK78" s="3">
        <v>3.0</v>
      </c>
      <c r="AL78" s="10">
        <v>16.0</v>
      </c>
      <c r="AM78" s="3">
        <v>11.0</v>
      </c>
      <c r="AN78" s="3">
        <v>9.0</v>
      </c>
      <c r="AO78" s="3">
        <v>6.0</v>
      </c>
      <c r="AP78" s="10">
        <v>37.0</v>
      </c>
      <c r="AQ78" s="2">
        <v>1.0</v>
      </c>
    </row>
    <row r="79">
      <c r="A79" s="51" t="s">
        <v>124</v>
      </c>
      <c r="B79" s="7"/>
      <c r="C79" s="7"/>
      <c r="E79" s="7"/>
      <c r="F79" s="7"/>
      <c r="G79" s="12">
        <v>2.0</v>
      </c>
      <c r="H79" s="7"/>
      <c r="J79" s="1"/>
      <c r="K79" s="1"/>
      <c r="L79" s="7"/>
      <c r="M79" s="12">
        <v>1.0</v>
      </c>
      <c r="P79" s="51" t="s">
        <v>124</v>
      </c>
      <c r="Q79" s="7">
        <v>2.0</v>
      </c>
      <c r="R79" s="1"/>
      <c r="S79" s="7">
        <v>1.0</v>
      </c>
      <c r="T79" s="1"/>
      <c r="U79" s="1"/>
      <c r="V79" s="1"/>
      <c r="W79" s="7"/>
      <c r="X79" s="1"/>
      <c r="Y79" s="1"/>
      <c r="Z79" s="1"/>
      <c r="AA79" s="3">
        <v>1.0</v>
      </c>
      <c r="AB79" s="7">
        <v>0.0</v>
      </c>
      <c r="AC79" s="7">
        <v>0.0</v>
      </c>
      <c r="AD79" s="6"/>
      <c r="AE79" s="7">
        <v>0.0</v>
      </c>
      <c r="AF79" s="7">
        <v>0.0</v>
      </c>
      <c r="AG79" s="7"/>
      <c r="AJ79" s="1"/>
      <c r="AK79" s="1"/>
      <c r="AL79" s="6"/>
      <c r="AM79" s="1"/>
      <c r="AN79" s="1"/>
      <c r="AO79" s="1"/>
      <c r="AP79" s="6"/>
    </row>
    <row r="80">
      <c r="A80" s="52" t="s">
        <v>125</v>
      </c>
      <c r="B80" s="12">
        <v>3.0</v>
      </c>
      <c r="C80" s="12">
        <v>13.0</v>
      </c>
      <c r="E80" s="7"/>
      <c r="F80" s="12">
        <v>1.0</v>
      </c>
      <c r="G80" s="7"/>
      <c r="H80" s="12">
        <v>6.0</v>
      </c>
      <c r="J80" s="20">
        <v>20.0</v>
      </c>
      <c r="K80" s="3">
        <v>22.0</v>
      </c>
      <c r="L80" s="12"/>
      <c r="M80" s="12">
        <v>1.0</v>
      </c>
      <c r="N80" s="2">
        <v>2.0</v>
      </c>
      <c r="P80" s="52" t="s">
        <v>125</v>
      </c>
      <c r="Q80" s="7">
        <v>32.0</v>
      </c>
      <c r="R80" s="12">
        <v>54.0</v>
      </c>
      <c r="S80" s="7">
        <v>27.0</v>
      </c>
      <c r="T80" s="12">
        <v>12.0</v>
      </c>
      <c r="U80" s="7">
        <v>19.0</v>
      </c>
      <c r="V80" s="12">
        <v>16.0</v>
      </c>
      <c r="W80" s="12">
        <v>8.0</v>
      </c>
      <c r="X80" s="3">
        <v>14.0</v>
      </c>
      <c r="Y80" s="3">
        <v>9.0</v>
      </c>
      <c r="Z80" s="3">
        <v>13.0</v>
      </c>
      <c r="AA80" s="3">
        <v>4.0</v>
      </c>
      <c r="AB80" s="7">
        <v>18.0</v>
      </c>
      <c r="AC80" s="7">
        <v>6.0</v>
      </c>
      <c r="AD80" s="10">
        <v>2.0</v>
      </c>
      <c r="AE80" s="7">
        <v>16.0</v>
      </c>
      <c r="AF80" s="7">
        <v>3.0</v>
      </c>
      <c r="AG80" s="12">
        <v>3.0</v>
      </c>
      <c r="AH80" s="2">
        <v>7.0</v>
      </c>
      <c r="AI80" s="2">
        <v>16.0</v>
      </c>
      <c r="AJ80" s="3">
        <v>6.0</v>
      </c>
      <c r="AK80" s="3">
        <v>6.0</v>
      </c>
      <c r="AL80" s="10">
        <v>2.0</v>
      </c>
      <c r="AM80" s="3">
        <v>1.0</v>
      </c>
      <c r="AN80" s="3">
        <v>1.0</v>
      </c>
      <c r="AO80" s="3">
        <v>1.0</v>
      </c>
      <c r="AP80" s="10">
        <v>13.0</v>
      </c>
    </row>
    <row r="81">
      <c r="A81" s="49" t="s">
        <v>126</v>
      </c>
      <c r="B81" s="12"/>
      <c r="C81" s="12">
        <v>4.0</v>
      </c>
      <c r="E81" s="7"/>
      <c r="F81" s="12">
        <v>5.0</v>
      </c>
      <c r="G81" s="12">
        <v>11.0</v>
      </c>
      <c r="H81" s="12">
        <v>2.0</v>
      </c>
      <c r="I81" s="2">
        <v>3.0</v>
      </c>
      <c r="J81" s="3">
        <v>19.0</v>
      </c>
      <c r="K81" s="3">
        <v>20.0</v>
      </c>
      <c r="L81" s="12">
        <v>5.0</v>
      </c>
      <c r="M81" s="12">
        <v>6.0</v>
      </c>
      <c r="N81" s="2">
        <v>4.0</v>
      </c>
      <c r="O81" s="2">
        <v>14.0</v>
      </c>
      <c r="P81" s="49" t="s">
        <v>126</v>
      </c>
      <c r="Q81" s="7">
        <v>38.0</v>
      </c>
      <c r="R81" s="12">
        <v>74.0</v>
      </c>
      <c r="S81" s="7">
        <v>44.0</v>
      </c>
      <c r="T81" s="12">
        <v>25.0</v>
      </c>
      <c r="U81" s="7">
        <v>25.0</v>
      </c>
      <c r="V81" s="12">
        <v>15.0</v>
      </c>
      <c r="W81" s="12">
        <v>4.0</v>
      </c>
      <c r="X81" s="3">
        <v>31.0</v>
      </c>
      <c r="Y81" s="3">
        <v>33.0</v>
      </c>
      <c r="Z81" s="3">
        <v>44.0</v>
      </c>
      <c r="AA81" s="3">
        <v>26.0</v>
      </c>
      <c r="AB81" s="7">
        <v>28.0</v>
      </c>
      <c r="AC81" s="7">
        <v>20.0</v>
      </c>
      <c r="AD81" s="10">
        <v>8.0</v>
      </c>
      <c r="AE81" s="7">
        <v>26.0</v>
      </c>
      <c r="AF81" s="7">
        <v>7.0</v>
      </c>
      <c r="AG81" s="12">
        <v>9.0</v>
      </c>
      <c r="AH81" s="2">
        <v>52.0</v>
      </c>
      <c r="AI81" s="2">
        <v>36.0</v>
      </c>
      <c r="AJ81" s="3">
        <v>10.0</v>
      </c>
      <c r="AK81" s="3">
        <v>15.0</v>
      </c>
      <c r="AL81" s="10">
        <v>9.0</v>
      </c>
      <c r="AM81" s="3">
        <v>16.0</v>
      </c>
      <c r="AN81" s="3">
        <v>6.0</v>
      </c>
      <c r="AO81" s="3">
        <v>10.0</v>
      </c>
      <c r="AP81" s="10">
        <v>47.0</v>
      </c>
      <c r="AQ81" s="2">
        <v>33.0</v>
      </c>
    </row>
    <row r="82">
      <c r="A82" s="49" t="s">
        <v>127</v>
      </c>
      <c r="B82" s="12">
        <v>3.0</v>
      </c>
      <c r="C82" s="12">
        <v>11.0</v>
      </c>
      <c r="E82" s="12">
        <v>2.0</v>
      </c>
      <c r="F82" s="12">
        <v>5.0</v>
      </c>
      <c r="G82" s="12">
        <v>2.0</v>
      </c>
      <c r="H82" s="12">
        <v>3.0</v>
      </c>
      <c r="I82" s="2">
        <v>4.0</v>
      </c>
      <c r="J82" s="3">
        <v>16.0</v>
      </c>
      <c r="K82" s="3">
        <v>14.0</v>
      </c>
      <c r="L82" s="12">
        <v>2.0</v>
      </c>
      <c r="M82" s="12"/>
      <c r="O82" s="2">
        <v>4.0</v>
      </c>
      <c r="P82" s="49" t="s">
        <v>127</v>
      </c>
      <c r="Q82" s="7">
        <v>28.0</v>
      </c>
      <c r="R82" s="12">
        <v>44.0</v>
      </c>
      <c r="S82" s="7">
        <v>22.0</v>
      </c>
      <c r="T82" s="12">
        <v>23.0</v>
      </c>
      <c r="U82" s="7">
        <v>8.0</v>
      </c>
      <c r="V82" s="12">
        <v>49.0</v>
      </c>
      <c r="W82" s="12">
        <v>4.0</v>
      </c>
      <c r="X82" s="3">
        <v>38.0</v>
      </c>
      <c r="Y82" s="3">
        <v>24.0</v>
      </c>
      <c r="Z82" s="3">
        <v>8.0</v>
      </c>
      <c r="AA82" s="3">
        <v>14.0</v>
      </c>
      <c r="AB82" s="7">
        <v>15.0</v>
      </c>
      <c r="AC82" s="7">
        <v>13.0</v>
      </c>
      <c r="AD82" s="10">
        <v>9.0</v>
      </c>
      <c r="AE82" s="7">
        <v>9.0</v>
      </c>
      <c r="AF82" s="7">
        <v>9.0</v>
      </c>
      <c r="AG82" s="12">
        <v>12.0</v>
      </c>
      <c r="AH82" s="2">
        <v>18.0</v>
      </c>
      <c r="AI82" s="2">
        <v>7.0</v>
      </c>
      <c r="AJ82" s="3">
        <v>23.0</v>
      </c>
      <c r="AK82" s="3">
        <v>5.0</v>
      </c>
      <c r="AL82" s="10">
        <v>4.0</v>
      </c>
      <c r="AM82" s="3">
        <v>4.0</v>
      </c>
      <c r="AN82" s="3">
        <v>3.0</v>
      </c>
      <c r="AO82" s="3">
        <v>5.0</v>
      </c>
      <c r="AP82" s="10">
        <v>32.0</v>
      </c>
      <c r="AQ82" s="2">
        <v>11.0</v>
      </c>
    </row>
    <row r="83">
      <c r="A83" s="50" t="s">
        <v>94</v>
      </c>
      <c r="B83" s="12"/>
      <c r="C83" s="12"/>
      <c r="E83" s="12"/>
      <c r="F83" s="12"/>
      <c r="G83" s="12"/>
      <c r="H83" s="12">
        <v>2.0</v>
      </c>
      <c r="I83" s="2">
        <v>1.0</v>
      </c>
      <c r="J83" s="1"/>
      <c r="K83" s="1"/>
      <c r="L83" s="12"/>
      <c r="M83" s="12"/>
      <c r="P83" s="50" t="s">
        <v>94</v>
      </c>
      <c r="Q83" s="12"/>
      <c r="R83" s="12"/>
      <c r="S83" s="12"/>
      <c r="T83" s="7"/>
      <c r="U83" s="7"/>
      <c r="V83" s="7"/>
      <c r="W83" s="12"/>
      <c r="X83" s="3"/>
      <c r="Y83" s="3"/>
      <c r="Z83" s="3"/>
      <c r="AA83" s="3"/>
      <c r="AB83" s="7"/>
      <c r="AC83" s="7"/>
      <c r="AD83" s="10"/>
      <c r="AE83" s="7"/>
      <c r="AF83" s="7"/>
      <c r="AG83" s="12"/>
      <c r="AJ83" s="1"/>
      <c r="AK83" s="1"/>
      <c r="AL83" s="10"/>
      <c r="AM83" s="1"/>
      <c r="AN83" s="1"/>
      <c r="AO83" s="1"/>
      <c r="AP83" s="10"/>
    </row>
    <row r="84">
      <c r="A84" s="50" t="s">
        <v>128</v>
      </c>
      <c r="B84" s="12"/>
      <c r="C84" s="12">
        <v>0.0</v>
      </c>
      <c r="D84" s="2">
        <v>6.0</v>
      </c>
      <c r="E84" s="12">
        <v>1.0</v>
      </c>
      <c r="F84" s="12">
        <v>4.0</v>
      </c>
      <c r="G84" s="12">
        <v>1.0</v>
      </c>
      <c r="H84" s="12">
        <v>4.0</v>
      </c>
      <c r="J84" s="1"/>
      <c r="K84" s="1"/>
      <c r="L84" s="12">
        <v>2.0</v>
      </c>
      <c r="M84" s="12">
        <v>2.0</v>
      </c>
      <c r="N84" s="2">
        <v>1.0</v>
      </c>
      <c r="P84" s="50" t="s">
        <v>128</v>
      </c>
      <c r="Q84" s="12">
        <v>1.0</v>
      </c>
      <c r="R84" s="12">
        <v>0.0</v>
      </c>
      <c r="S84" s="12">
        <v>3.0</v>
      </c>
      <c r="T84" s="7"/>
      <c r="U84" s="7"/>
      <c r="V84" s="7"/>
      <c r="W84" s="12"/>
      <c r="X84" s="3"/>
      <c r="Y84" s="3"/>
      <c r="Z84" s="3"/>
      <c r="AA84" s="3"/>
      <c r="AB84" s="7"/>
      <c r="AC84" s="7"/>
      <c r="AD84" s="10"/>
      <c r="AE84" s="7"/>
      <c r="AF84" s="7"/>
      <c r="AG84" s="12"/>
      <c r="AH84" s="2">
        <v>1.0</v>
      </c>
      <c r="AJ84" s="1"/>
      <c r="AK84" s="1"/>
      <c r="AL84" s="10"/>
      <c r="AM84" s="1"/>
      <c r="AN84" s="1"/>
      <c r="AO84" s="1"/>
      <c r="AP84" s="10"/>
    </row>
    <row r="85">
      <c r="A85" s="50" t="s">
        <v>129</v>
      </c>
      <c r="B85" s="12">
        <v>1.0</v>
      </c>
      <c r="C85" s="12"/>
      <c r="E85" s="7"/>
      <c r="F85" s="12">
        <v>3.0</v>
      </c>
      <c r="G85" s="7"/>
      <c r="H85" s="12">
        <v>2.0</v>
      </c>
      <c r="I85" s="2">
        <v>1.0</v>
      </c>
      <c r="J85" s="1"/>
      <c r="K85" s="1"/>
      <c r="L85" s="12"/>
      <c r="M85" s="12"/>
      <c r="P85" s="50" t="s">
        <v>129</v>
      </c>
      <c r="Q85" s="7"/>
      <c r="R85" s="1"/>
      <c r="S85" s="12">
        <v>3.0</v>
      </c>
      <c r="T85" s="1"/>
      <c r="U85" s="1"/>
      <c r="V85" s="1"/>
      <c r="W85" s="7"/>
      <c r="X85" s="1"/>
      <c r="Y85" s="1"/>
      <c r="Z85" s="3">
        <v>1.0</v>
      </c>
      <c r="AA85" s="1"/>
      <c r="AB85" s="7"/>
      <c r="AC85" s="12">
        <v>1.0</v>
      </c>
      <c r="AD85" s="6"/>
      <c r="AE85" s="12">
        <v>2.0</v>
      </c>
      <c r="AF85" s="7"/>
      <c r="AG85" s="7"/>
      <c r="AJ85" s="1"/>
      <c r="AK85" s="1"/>
      <c r="AL85" s="6"/>
      <c r="AM85" s="1"/>
      <c r="AN85" s="1"/>
      <c r="AO85" s="1"/>
      <c r="AP85" s="6"/>
    </row>
    <row r="86">
      <c r="A86" s="51" t="s">
        <v>130</v>
      </c>
      <c r="B86" s="12"/>
      <c r="C86" s="12">
        <v>1.0</v>
      </c>
      <c r="E86" s="12">
        <v>2.0</v>
      </c>
      <c r="F86" s="12">
        <v>1.0</v>
      </c>
      <c r="G86" s="12">
        <v>1.0</v>
      </c>
      <c r="H86" s="12">
        <v>2.0</v>
      </c>
      <c r="I86" s="2">
        <v>2.0</v>
      </c>
      <c r="J86" s="1"/>
      <c r="K86" s="1"/>
      <c r="L86" s="12"/>
      <c r="M86" s="12"/>
      <c r="P86" s="51" t="s">
        <v>130</v>
      </c>
      <c r="Q86" s="7">
        <v>0.0</v>
      </c>
      <c r="R86" s="1"/>
      <c r="S86" s="12">
        <v>1.0</v>
      </c>
      <c r="T86" s="1"/>
      <c r="U86" s="1"/>
      <c r="V86" s="1"/>
      <c r="W86" s="7"/>
      <c r="X86" s="1"/>
      <c r="Y86" s="1"/>
      <c r="Z86" s="1"/>
      <c r="AA86" s="1"/>
      <c r="AB86" s="7">
        <v>0.0</v>
      </c>
      <c r="AC86" s="7">
        <v>0.0</v>
      </c>
      <c r="AD86" s="6"/>
      <c r="AE86" s="7">
        <v>0.0</v>
      </c>
      <c r="AF86" s="7">
        <v>0.0</v>
      </c>
      <c r="AG86" s="7"/>
      <c r="AJ86" s="1"/>
      <c r="AK86" s="1"/>
      <c r="AL86" s="6"/>
      <c r="AM86" s="1"/>
      <c r="AN86" s="1"/>
      <c r="AO86" s="1"/>
      <c r="AP86" s="6"/>
    </row>
    <row r="87">
      <c r="A87" s="49" t="s">
        <v>131</v>
      </c>
      <c r="B87" s="7"/>
      <c r="C87" s="7"/>
      <c r="E87" s="12">
        <v>2.0</v>
      </c>
      <c r="F87" s="7"/>
      <c r="G87" s="7"/>
      <c r="H87" s="7"/>
      <c r="I87" s="2">
        <v>1.0</v>
      </c>
      <c r="J87" s="1"/>
      <c r="K87" s="1"/>
      <c r="L87" s="7"/>
      <c r="M87" s="7"/>
      <c r="P87" s="49" t="s">
        <v>131</v>
      </c>
      <c r="Q87" s="7">
        <v>2.0</v>
      </c>
      <c r="R87" s="3">
        <v>1.0</v>
      </c>
      <c r="S87" s="7">
        <v>1.0</v>
      </c>
      <c r="T87" s="1"/>
      <c r="U87" s="1"/>
      <c r="V87" s="1"/>
      <c r="W87" s="7"/>
      <c r="X87" s="3">
        <v>0.0</v>
      </c>
      <c r="Y87" s="3">
        <v>4.0</v>
      </c>
      <c r="Z87" s="3">
        <v>1.0</v>
      </c>
      <c r="AA87" s="3">
        <v>2.0</v>
      </c>
      <c r="AB87" s="7">
        <v>0.0</v>
      </c>
      <c r="AC87" s="7">
        <v>0.0</v>
      </c>
      <c r="AD87" s="15"/>
      <c r="AE87" s="7">
        <v>0.0</v>
      </c>
      <c r="AF87" s="7">
        <v>1.0</v>
      </c>
      <c r="AG87" s="7"/>
      <c r="AH87" s="2">
        <v>2.0</v>
      </c>
      <c r="AI87" s="2">
        <v>3.0</v>
      </c>
      <c r="AJ87" s="1"/>
      <c r="AK87" s="3">
        <v>1.0</v>
      </c>
      <c r="AL87" s="15"/>
      <c r="AM87" s="3">
        <v>1.0</v>
      </c>
      <c r="AN87" s="3">
        <v>1.0</v>
      </c>
      <c r="AO87" s="1"/>
      <c r="AP87" s="6">
        <v>1.0</v>
      </c>
    </row>
    <row r="88">
      <c r="A88" s="49" t="s">
        <v>132</v>
      </c>
      <c r="B88" s="12">
        <v>1.0</v>
      </c>
      <c r="C88" s="12">
        <v>7.0</v>
      </c>
      <c r="E88" s="7"/>
      <c r="F88" s="12">
        <v>1.0</v>
      </c>
      <c r="G88" s="12">
        <v>2.0</v>
      </c>
      <c r="H88" s="12">
        <v>1.0</v>
      </c>
      <c r="I88" s="2">
        <v>2.0</v>
      </c>
      <c r="J88" s="3">
        <v>13.0</v>
      </c>
      <c r="K88" s="3">
        <v>9.0</v>
      </c>
      <c r="L88" s="12">
        <v>2.0</v>
      </c>
      <c r="M88" s="12"/>
      <c r="N88" s="2">
        <v>3.0</v>
      </c>
      <c r="O88" s="2">
        <v>4.0</v>
      </c>
      <c r="P88" s="49" t="s">
        <v>132</v>
      </c>
      <c r="Q88" s="7">
        <v>17.0</v>
      </c>
      <c r="R88" s="12">
        <v>52.0</v>
      </c>
      <c r="S88" s="7">
        <v>11.0</v>
      </c>
      <c r="T88" s="12">
        <v>17.0</v>
      </c>
      <c r="U88" s="7">
        <v>18.0</v>
      </c>
      <c r="V88" s="12">
        <v>11.0</v>
      </c>
      <c r="W88" s="12">
        <v>4.0</v>
      </c>
      <c r="X88" s="3">
        <v>30.0</v>
      </c>
      <c r="Y88" s="3">
        <v>22.0</v>
      </c>
      <c r="Z88" s="3">
        <v>31.0</v>
      </c>
      <c r="AA88" s="3">
        <v>19.0</v>
      </c>
      <c r="AB88" s="7">
        <v>21.0</v>
      </c>
      <c r="AC88" s="7">
        <v>5.0</v>
      </c>
      <c r="AD88" s="10">
        <v>4.0</v>
      </c>
      <c r="AE88" s="7">
        <v>10.0</v>
      </c>
      <c r="AF88" s="7">
        <v>2.0</v>
      </c>
      <c r="AG88" s="12">
        <v>6.0</v>
      </c>
      <c r="AH88" s="2">
        <v>8.0</v>
      </c>
      <c r="AI88" s="2">
        <v>11.0</v>
      </c>
      <c r="AJ88" s="3">
        <v>19.0</v>
      </c>
      <c r="AK88" s="3">
        <v>9.0</v>
      </c>
      <c r="AL88" s="10">
        <v>6.0</v>
      </c>
      <c r="AM88" s="3">
        <v>7.0</v>
      </c>
      <c r="AN88" s="3">
        <v>5.0</v>
      </c>
      <c r="AO88" s="3">
        <v>5.0</v>
      </c>
      <c r="AP88" s="10">
        <v>20.0</v>
      </c>
      <c r="AQ88" s="2">
        <v>7.0</v>
      </c>
    </row>
    <row r="89">
      <c r="A89" s="49" t="s">
        <v>133</v>
      </c>
      <c r="B89" s="7"/>
      <c r="C89" s="7"/>
      <c r="E89" s="7"/>
      <c r="F89" s="7"/>
      <c r="G89" s="7"/>
      <c r="H89" s="7"/>
      <c r="J89" s="1"/>
      <c r="K89" s="1"/>
      <c r="L89" s="7"/>
      <c r="M89" s="7"/>
      <c r="P89" s="49" t="s">
        <v>133</v>
      </c>
      <c r="Q89" s="7">
        <v>0.0</v>
      </c>
      <c r="R89" s="1"/>
      <c r="S89" s="7">
        <v>0.0</v>
      </c>
      <c r="T89" s="1"/>
      <c r="U89" s="1"/>
      <c r="V89" s="1"/>
      <c r="W89" s="7"/>
      <c r="X89" s="3">
        <v>0.0</v>
      </c>
      <c r="Y89" s="3">
        <v>0.0</v>
      </c>
      <c r="Z89" s="3">
        <v>0.0</v>
      </c>
      <c r="AA89" s="3">
        <v>0.0</v>
      </c>
      <c r="AB89" s="7">
        <v>0.0</v>
      </c>
      <c r="AC89" s="7">
        <v>0.0</v>
      </c>
      <c r="AD89" s="15"/>
      <c r="AE89" s="7">
        <v>0.0</v>
      </c>
      <c r="AF89" s="7">
        <v>0.0</v>
      </c>
      <c r="AG89" s="7"/>
      <c r="AJ89" s="1"/>
      <c r="AK89" s="1"/>
      <c r="AL89" s="15"/>
      <c r="AM89" s="1"/>
      <c r="AN89" s="1"/>
      <c r="AO89" s="1"/>
      <c r="AP89" s="15"/>
    </row>
    <row r="90">
      <c r="A90" s="50" t="s">
        <v>134</v>
      </c>
      <c r="B90" s="12">
        <v>2.0</v>
      </c>
      <c r="C90" s="7"/>
      <c r="E90" s="7"/>
      <c r="F90" s="12">
        <v>3.0</v>
      </c>
      <c r="G90" s="7"/>
      <c r="H90" s="12">
        <v>2.0</v>
      </c>
      <c r="I90" s="2">
        <v>5.0</v>
      </c>
      <c r="J90" s="1"/>
      <c r="K90" s="1"/>
      <c r="L90" s="12"/>
      <c r="M90" s="12">
        <v>2.0</v>
      </c>
      <c r="P90" s="50" t="s">
        <v>134</v>
      </c>
      <c r="Q90" s="7"/>
      <c r="R90" s="1"/>
      <c r="S90" s="12">
        <v>2.0</v>
      </c>
      <c r="T90" s="1"/>
      <c r="U90" s="1"/>
      <c r="V90" s="1"/>
      <c r="W90" s="7"/>
      <c r="X90" s="3"/>
      <c r="Y90" s="3"/>
      <c r="Z90" s="3"/>
      <c r="AA90" s="3"/>
      <c r="AB90" s="12">
        <v>3.0</v>
      </c>
      <c r="AC90" s="7"/>
      <c r="AD90" s="15"/>
      <c r="AE90" s="12">
        <v>1.0</v>
      </c>
      <c r="AF90" s="7"/>
      <c r="AG90" s="7"/>
      <c r="AJ90" s="1"/>
      <c r="AK90" s="1"/>
      <c r="AL90" s="15"/>
      <c r="AM90" s="1"/>
      <c r="AN90" s="1"/>
      <c r="AO90" s="1"/>
      <c r="AP90" s="15"/>
    </row>
    <row r="91">
      <c r="A91" s="49" t="s">
        <v>135</v>
      </c>
      <c r="B91" s="12"/>
      <c r="C91" s="12">
        <v>15.0</v>
      </c>
      <c r="E91" s="7"/>
      <c r="F91" s="12">
        <v>2.0</v>
      </c>
      <c r="G91" s="12">
        <v>7.0</v>
      </c>
      <c r="H91" s="12">
        <v>7.0</v>
      </c>
      <c r="I91" s="2">
        <v>2.0</v>
      </c>
      <c r="J91" s="1"/>
      <c r="K91" s="1"/>
      <c r="L91" s="12">
        <v>2.0</v>
      </c>
      <c r="M91" s="12">
        <v>6.0</v>
      </c>
      <c r="N91" s="2">
        <v>27.0</v>
      </c>
      <c r="O91" s="2">
        <v>3.0</v>
      </c>
      <c r="P91" s="49" t="s">
        <v>135</v>
      </c>
      <c r="Q91" s="7">
        <v>33.0</v>
      </c>
      <c r="R91" s="7"/>
      <c r="S91" s="7">
        <v>23.0</v>
      </c>
      <c r="T91" s="12">
        <v>9.0</v>
      </c>
      <c r="U91" s="7">
        <v>3.0</v>
      </c>
      <c r="V91" s="12">
        <v>8.0</v>
      </c>
      <c r="W91" s="12">
        <v>3.0</v>
      </c>
      <c r="X91" s="3">
        <v>17.0</v>
      </c>
      <c r="Y91" s="3">
        <v>12.0</v>
      </c>
      <c r="Z91" s="3">
        <v>6.0</v>
      </c>
      <c r="AA91" s="3">
        <v>3.0</v>
      </c>
      <c r="AB91" s="7">
        <v>0.0</v>
      </c>
      <c r="AC91" s="7">
        <v>17.0</v>
      </c>
      <c r="AD91" s="10">
        <v>2.0</v>
      </c>
      <c r="AE91" s="7">
        <v>14.0</v>
      </c>
      <c r="AF91" s="7">
        <v>3.0</v>
      </c>
      <c r="AG91" s="12">
        <v>4.0</v>
      </c>
      <c r="AI91" s="2">
        <v>3.0</v>
      </c>
      <c r="AJ91" s="1"/>
      <c r="AK91" s="3">
        <v>1.0</v>
      </c>
      <c r="AL91" s="11"/>
      <c r="AM91" s="3">
        <v>1.0</v>
      </c>
      <c r="AN91" s="1"/>
      <c r="AO91" s="3">
        <v>1.0</v>
      </c>
      <c r="AP91" s="10">
        <v>29.0</v>
      </c>
      <c r="AQ91" s="2">
        <v>2.0</v>
      </c>
    </row>
    <row r="92">
      <c r="A92" s="49" t="s">
        <v>136</v>
      </c>
      <c r="B92" s="12"/>
      <c r="C92" s="12">
        <v>3.0</v>
      </c>
      <c r="E92" s="12">
        <v>1.0</v>
      </c>
      <c r="F92" s="12">
        <v>4.0</v>
      </c>
      <c r="G92" s="12">
        <v>5.0</v>
      </c>
      <c r="H92" s="7"/>
      <c r="I92" s="2">
        <v>1.0</v>
      </c>
      <c r="J92" s="1"/>
      <c r="K92" s="1"/>
      <c r="L92" s="12">
        <v>10.0</v>
      </c>
      <c r="M92" s="12">
        <v>3.0</v>
      </c>
      <c r="N92" s="2">
        <v>1.0</v>
      </c>
      <c r="P92" s="49" t="s">
        <v>136</v>
      </c>
      <c r="Q92" s="7">
        <v>6.0</v>
      </c>
      <c r="R92" s="3">
        <v>5.0</v>
      </c>
      <c r="S92" s="7">
        <v>7.0</v>
      </c>
      <c r="T92" s="1"/>
      <c r="U92" s="1"/>
      <c r="V92" s="12"/>
      <c r="W92" s="12">
        <v>3.0</v>
      </c>
      <c r="X92" s="3">
        <v>3.0</v>
      </c>
      <c r="Y92" s="3">
        <v>0.0</v>
      </c>
      <c r="Z92" s="3">
        <v>1.0</v>
      </c>
      <c r="AA92" s="3">
        <v>0.0</v>
      </c>
      <c r="AB92" s="7">
        <v>2.0</v>
      </c>
      <c r="AC92" s="7">
        <v>0.0</v>
      </c>
      <c r="AD92" s="6">
        <v>1.0</v>
      </c>
      <c r="AE92" s="7">
        <v>1.0</v>
      </c>
      <c r="AF92" s="7">
        <v>1.0</v>
      </c>
      <c r="AG92" s="7"/>
      <c r="AJ92" s="1"/>
      <c r="AK92" s="1"/>
      <c r="AL92" s="6"/>
      <c r="AM92" s="1"/>
      <c r="AN92" s="1"/>
      <c r="AO92" s="1"/>
      <c r="AP92" s="6">
        <v>1.0</v>
      </c>
    </row>
    <row r="93">
      <c r="A93" s="52" t="s">
        <v>137</v>
      </c>
      <c r="B93" s="7"/>
      <c r="C93" s="7"/>
      <c r="E93" s="7"/>
      <c r="F93" s="7"/>
      <c r="G93" s="7"/>
      <c r="H93" s="7"/>
      <c r="J93" s="1"/>
      <c r="K93" s="1"/>
      <c r="L93" s="7"/>
      <c r="M93" s="7"/>
      <c r="N93" s="2">
        <v>2.0</v>
      </c>
      <c r="P93" s="52" t="s">
        <v>137</v>
      </c>
      <c r="Q93" s="7">
        <v>0.0</v>
      </c>
      <c r="R93" s="3">
        <v>2.0</v>
      </c>
      <c r="S93" s="7">
        <v>0.0</v>
      </c>
      <c r="T93" s="1"/>
      <c r="U93" s="1"/>
      <c r="V93" s="12"/>
      <c r="W93" s="12">
        <v>1.0</v>
      </c>
      <c r="X93" s="3">
        <v>1.0</v>
      </c>
      <c r="Y93" s="3">
        <v>0.0</v>
      </c>
      <c r="Z93" s="3">
        <v>0.0</v>
      </c>
      <c r="AA93" s="3">
        <v>0.0</v>
      </c>
      <c r="AB93" s="7">
        <v>5.0</v>
      </c>
      <c r="AC93" s="7">
        <v>0.0</v>
      </c>
      <c r="AD93" s="15"/>
      <c r="AE93" s="7">
        <v>0.0</v>
      </c>
      <c r="AF93" s="7">
        <v>0.0</v>
      </c>
      <c r="AG93" s="7"/>
      <c r="AJ93" s="3">
        <v>2.0</v>
      </c>
      <c r="AK93" s="1"/>
      <c r="AL93" s="6">
        <v>1.0</v>
      </c>
      <c r="AM93" s="1"/>
      <c r="AN93" s="1"/>
      <c r="AO93" s="1"/>
      <c r="AP93" s="15"/>
    </row>
    <row r="94">
      <c r="A94" s="51" t="s">
        <v>138</v>
      </c>
      <c r="B94" s="12">
        <v>5.0</v>
      </c>
      <c r="C94" s="12">
        <v>1.0</v>
      </c>
      <c r="E94" s="12">
        <v>1.0</v>
      </c>
      <c r="F94" s="12">
        <v>7.0</v>
      </c>
      <c r="G94" s="7"/>
      <c r="H94" s="12">
        <v>2.0</v>
      </c>
      <c r="I94" s="2">
        <v>4.0</v>
      </c>
      <c r="J94" s="1"/>
      <c r="K94" s="1"/>
      <c r="L94" s="12"/>
      <c r="M94" s="12">
        <v>1.0</v>
      </c>
      <c r="P94" s="51" t="s">
        <v>138</v>
      </c>
      <c r="Q94" s="7">
        <v>1.0</v>
      </c>
      <c r="R94" s="1"/>
      <c r="S94" s="7">
        <v>5.0</v>
      </c>
      <c r="T94" s="1"/>
      <c r="U94" s="1"/>
      <c r="V94" s="7"/>
      <c r="W94" s="7"/>
      <c r="X94" s="1"/>
      <c r="Y94" s="1"/>
      <c r="Z94" s="1"/>
      <c r="AA94" s="1"/>
      <c r="AB94" s="7">
        <v>1.0</v>
      </c>
      <c r="AC94" s="7">
        <v>3.0</v>
      </c>
      <c r="AD94" s="15"/>
      <c r="AE94" s="1"/>
      <c r="AF94" s="7">
        <v>0.0</v>
      </c>
      <c r="AG94" s="7"/>
      <c r="AJ94" s="3">
        <v>1.0</v>
      </c>
      <c r="AK94" s="1"/>
      <c r="AL94" s="15"/>
      <c r="AM94" s="1"/>
      <c r="AN94" s="1"/>
      <c r="AO94" s="1"/>
      <c r="AP94" s="15"/>
    </row>
    <row r="95">
      <c r="A95" s="49" t="s">
        <v>139</v>
      </c>
      <c r="B95" s="12"/>
      <c r="C95" s="12">
        <v>2.0</v>
      </c>
      <c r="D95" s="2">
        <v>5.0</v>
      </c>
      <c r="E95" s="7"/>
      <c r="F95" s="12">
        <v>8.0</v>
      </c>
      <c r="G95" s="12">
        <v>8.0</v>
      </c>
      <c r="H95" s="7"/>
      <c r="I95" s="2">
        <v>12.0</v>
      </c>
      <c r="J95" s="1"/>
      <c r="K95" s="3">
        <v>1.0</v>
      </c>
      <c r="L95" s="12"/>
      <c r="M95" s="12">
        <v>12.0</v>
      </c>
      <c r="N95" s="2">
        <v>1.0</v>
      </c>
      <c r="P95" s="49" t="s">
        <v>139</v>
      </c>
      <c r="Q95" s="7">
        <v>5.0</v>
      </c>
      <c r="R95" s="3">
        <v>1.0</v>
      </c>
      <c r="S95" s="7">
        <v>13.0</v>
      </c>
      <c r="T95" s="1"/>
      <c r="U95" s="1"/>
      <c r="V95" s="7"/>
      <c r="W95" s="7"/>
      <c r="X95" s="3">
        <v>0.0</v>
      </c>
      <c r="Y95" s="3">
        <v>0.0</v>
      </c>
      <c r="Z95" s="3">
        <v>0.0</v>
      </c>
      <c r="AA95" s="3">
        <v>0.0</v>
      </c>
      <c r="AB95" s="7">
        <v>4.0</v>
      </c>
      <c r="AC95" s="7">
        <v>13.0</v>
      </c>
      <c r="AD95" s="15"/>
      <c r="AE95" s="7">
        <v>3.0</v>
      </c>
      <c r="AF95" s="7">
        <v>1.0</v>
      </c>
      <c r="AG95" s="7"/>
      <c r="AJ95" s="1"/>
      <c r="AK95" s="1"/>
      <c r="AL95" s="15"/>
      <c r="AM95" s="1"/>
      <c r="AN95" s="1"/>
      <c r="AO95" s="1"/>
      <c r="AP95" s="15"/>
    </row>
    <row r="96">
      <c r="A96" s="49" t="s">
        <v>140</v>
      </c>
      <c r="B96" s="12"/>
      <c r="C96" s="12">
        <v>1.0</v>
      </c>
      <c r="D96" s="2">
        <v>8.0</v>
      </c>
      <c r="E96" s="12">
        <v>2.0</v>
      </c>
      <c r="F96" s="12">
        <v>3.0</v>
      </c>
      <c r="G96" s="7"/>
      <c r="H96" s="12">
        <v>6.0</v>
      </c>
      <c r="I96" s="2">
        <v>4.0</v>
      </c>
      <c r="J96" s="1"/>
      <c r="K96" s="1"/>
      <c r="L96" s="12">
        <v>5.0</v>
      </c>
      <c r="M96" s="12">
        <v>4.0</v>
      </c>
      <c r="P96" s="49" t="s">
        <v>140</v>
      </c>
      <c r="Q96" s="7">
        <v>0.0</v>
      </c>
      <c r="R96" s="1"/>
      <c r="S96" s="7">
        <v>4.0</v>
      </c>
      <c r="T96" s="1"/>
      <c r="U96" s="1"/>
      <c r="V96" s="7"/>
      <c r="W96" s="7"/>
      <c r="X96" s="3">
        <v>0.0</v>
      </c>
      <c r="Y96" s="3">
        <v>0.0</v>
      </c>
      <c r="Z96" s="3">
        <v>0.0</v>
      </c>
      <c r="AA96" s="3">
        <v>0.0</v>
      </c>
      <c r="AB96" s="7">
        <v>1.0</v>
      </c>
      <c r="AC96" s="7">
        <v>4.0</v>
      </c>
      <c r="AD96" s="6"/>
      <c r="AE96" s="7">
        <v>1.0</v>
      </c>
      <c r="AF96" s="7">
        <v>0.0</v>
      </c>
      <c r="AG96" s="7"/>
      <c r="AJ96" s="1"/>
      <c r="AK96" s="1"/>
      <c r="AL96" s="6"/>
      <c r="AM96" s="1"/>
      <c r="AN96" s="1"/>
      <c r="AO96" s="1"/>
      <c r="AP96" s="6"/>
    </row>
    <row r="97">
      <c r="A97" s="49" t="s">
        <v>141</v>
      </c>
      <c r="B97" s="7"/>
      <c r="C97" s="7"/>
      <c r="E97" s="7"/>
      <c r="F97" s="7"/>
      <c r="G97" s="7"/>
      <c r="H97" s="7"/>
      <c r="I97" s="2">
        <v>1.0</v>
      </c>
      <c r="J97" s="1"/>
      <c r="K97" s="1"/>
      <c r="L97" s="7"/>
      <c r="M97" s="7"/>
      <c r="P97" s="49" t="s">
        <v>141</v>
      </c>
      <c r="Q97" s="7">
        <v>2.0</v>
      </c>
      <c r="R97" s="1"/>
      <c r="S97" s="7">
        <v>1.0</v>
      </c>
      <c r="T97" s="1"/>
      <c r="U97" s="1"/>
      <c r="V97" s="7"/>
      <c r="W97" s="7"/>
      <c r="X97" s="3">
        <v>0.0</v>
      </c>
      <c r="Y97" s="3">
        <v>0.0</v>
      </c>
      <c r="Z97" s="3">
        <v>0.0</v>
      </c>
      <c r="AA97" s="3">
        <v>0.0</v>
      </c>
      <c r="AB97" s="7">
        <v>1.0</v>
      </c>
      <c r="AC97" s="7">
        <v>0.0</v>
      </c>
      <c r="AD97" s="15"/>
      <c r="AE97" s="7">
        <v>0.0</v>
      </c>
      <c r="AF97" s="7">
        <v>0.0</v>
      </c>
      <c r="AG97" s="7"/>
      <c r="AJ97" s="1"/>
      <c r="AK97" s="1"/>
      <c r="AL97" s="15"/>
      <c r="AM97" s="1"/>
      <c r="AN97" s="1"/>
      <c r="AO97" s="1"/>
      <c r="AP97" s="15"/>
    </row>
    <row r="98">
      <c r="A98" s="49" t="s">
        <v>142</v>
      </c>
      <c r="B98" s="7"/>
      <c r="C98" s="7"/>
      <c r="E98" s="7"/>
      <c r="F98" s="7"/>
      <c r="G98" s="7"/>
      <c r="H98" s="7"/>
      <c r="J98" s="1"/>
      <c r="K98" s="1"/>
      <c r="L98" s="7"/>
      <c r="M98" s="7"/>
      <c r="P98" s="49" t="s">
        <v>142</v>
      </c>
      <c r="Q98" s="7">
        <v>0.0</v>
      </c>
      <c r="R98" s="3">
        <v>2.0</v>
      </c>
      <c r="S98" s="7">
        <v>2.0</v>
      </c>
      <c r="T98" s="1"/>
      <c r="U98" s="1"/>
      <c r="V98" s="7"/>
      <c r="W98" s="7"/>
      <c r="X98" s="3">
        <v>3.0</v>
      </c>
      <c r="Y98" s="3">
        <v>2.0</v>
      </c>
      <c r="Z98" s="3">
        <v>1.0</v>
      </c>
      <c r="AA98" s="3">
        <v>4.0</v>
      </c>
      <c r="AB98" s="7">
        <v>0.0</v>
      </c>
      <c r="AC98" s="7">
        <v>1.0</v>
      </c>
      <c r="AD98" s="6"/>
      <c r="AE98" s="7">
        <v>2.0</v>
      </c>
      <c r="AF98" s="7">
        <v>0.0</v>
      </c>
      <c r="AG98" s="7"/>
      <c r="AH98" s="2">
        <v>1.0</v>
      </c>
      <c r="AI98" s="2">
        <v>1.0</v>
      </c>
      <c r="AJ98" s="3">
        <v>1.0</v>
      </c>
      <c r="AK98" s="3">
        <v>1.0</v>
      </c>
      <c r="AL98" s="6"/>
      <c r="AM98" s="1"/>
      <c r="AN98" s="1"/>
      <c r="AO98" s="1"/>
      <c r="AP98" s="6">
        <v>3.0</v>
      </c>
    </row>
    <row r="99">
      <c r="A99" s="51" t="s">
        <v>143</v>
      </c>
      <c r="B99" s="7"/>
      <c r="C99" s="7"/>
      <c r="E99" s="12">
        <v>1.0</v>
      </c>
      <c r="F99" s="12">
        <v>1.0</v>
      </c>
      <c r="G99" s="7"/>
      <c r="H99" s="7"/>
      <c r="J99" s="1"/>
      <c r="K99" s="1"/>
      <c r="L99" s="12">
        <v>2.0</v>
      </c>
      <c r="M99" s="7"/>
      <c r="P99" s="51" t="s">
        <v>143</v>
      </c>
      <c r="Q99" s="7">
        <v>0.0</v>
      </c>
      <c r="R99" s="1"/>
      <c r="S99" s="7">
        <v>1.0</v>
      </c>
      <c r="T99" s="1"/>
      <c r="U99" s="1"/>
      <c r="V99" s="7"/>
      <c r="W99" s="7"/>
      <c r="X99" s="1"/>
      <c r="Y99" s="1"/>
      <c r="Z99" s="1"/>
      <c r="AA99" s="1"/>
      <c r="AB99" s="7">
        <v>0.0</v>
      </c>
      <c r="AC99" s="7">
        <v>1.0</v>
      </c>
      <c r="AD99" s="15"/>
      <c r="AE99" s="7">
        <v>0.0</v>
      </c>
      <c r="AF99" s="7">
        <v>0.0</v>
      </c>
      <c r="AG99" s="7"/>
      <c r="AJ99" s="1"/>
      <c r="AK99" s="1"/>
      <c r="AL99" s="15"/>
      <c r="AM99" s="7"/>
      <c r="AN99" s="7"/>
      <c r="AO99" s="7"/>
      <c r="AP99" s="15"/>
    </row>
  </sheetData>
  <mergeCells count="6">
    <mergeCell ref="J1:K1"/>
    <mergeCell ref="T1:V1"/>
    <mergeCell ref="X1:AA1"/>
    <mergeCell ref="AH1:AK1"/>
    <mergeCell ref="AL1:AO1"/>
    <mergeCell ref="T4:V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0"/>
    <col customWidth="1" min="2" max="2" width="4.75"/>
    <col customWidth="1" min="3" max="3" width="10.88"/>
    <col customWidth="1" min="4" max="4" width="7.25"/>
    <col customWidth="1" min="5" max="5" width="5.75"/>
    <col customWidth="1" min="6" max="6" width="12.75"/>
    <col customWidth="1" min="7" max="7" width="10.25"/>
    <col customWidth="1" min="8" max="8" width="8.13"/>
    <col customWidth="1" min="9" max="9" width="5.88"/>
    <col customWidth="1" min="10" max="10" width="6.0"/>
    <col customWidth="1" min="11" max="11" width="10.13"/>
    <col customWidth="1" min="12" max="12" width="5.5"/>
    <col customWidth="1" min="13" max="17" width="8.88"/>
    <col customWidth="1" min="18" max="18" width="8.5"/>
    <col customWidth="1" min="19" max="19" width="5.13"/>
    <col customWidth="1" min="20" max="20" width="7.63"/>
    <col customWidth="1" min="21" max="21" width="7.75"/>
    <col customWidth="1" min="22" max="22" width="4.38"/>
    <col customWidth="1" min="23" max="23" width="7.75"/>
    <col customWidth="1" min="24" max="24" width="8.75"/>
    <col customWidth="1" min="25" max="25" width="7.88"/>
    <col customWidth="1" min="26" max="26" width="3.75"/>
    <col customWidth="1" min="27" max="27" width="6.0"/>
    <col customWidth="1" min="28" max="28" width="4.5"/>
    <col customWidth="1" min="29" max="29" width="8.63"/>
    <col customWidth="1" min="30" max="30" width="7.38"/>
    <col customWidth="1" min="31" max="31" width="5.75"/>
    <col customWidth="1" min="32" max="32" width="8.38"/>
    <col customWidth="1" min="33" max="33" width="5.13"/>
    <col customWidth="1" min="34" max="34" width="6.63"/>
  </cols>
  <sheetData>
    <row r="1">
      <c r="A1" s="94"/>
      <c r="B1" s="95" t="s">
        <v>0</v>
      </c>
      <c r="C1" s="96" t="s">
        <v>1</v>
      </c>
      <c r="D1" s="96" t="s">
        <v>2</v>
      </c>
      <c r="E1" s="96" t="s">
        <v>3</v>
      </c>
      <c r="F1" s="96" t="s">
        <v>4</v>
      </c>
      <c r="G1" s="96" t="s">
        <v>5</v>
      </c>
      <c r="H1" s="96" t="s">
        <v>185</v>
      </c>
      <c r="I1" s="96" t="s">
        <v>7</v>
      </c>
      <c r="J1" s="96" t="s">
        <v>8</v>
      </c>
      <c r="K1" s="95" t="s">
        <v>9</v>
      </c>
      <c r="L1" s="96" t="s">
        <v>10</v>
      </c>
      <c r="M1" s="96" t="s">
        <v>11</v>
      </c>
      <c r="N1" s="96" t="s">
        <v>12</v>
      </c>
      <c r="O1" s="97" t="s">
        <v>13</v>
      </c>
      <c r="P1" s="97" t="s">
        <v>14</v>
      </c>
      <c r="Q1" s="96" t="s">
        <v>15</v>
      </c>
      <c r="R1" s="97" t="s">
        <v>16</v>
      </c>
      <c r="S1" s="96" t="s">
        <v>17</v>
      </c>
      <c r="T1" s="96" t="s">
        <v>18</v>
      </c>
      <c r="U1" s="97" t="s">
        <v>19</v>
      </c>
      <c r="V1" s="97" t="s">
        <v>20</v>
      </c>
      <c r="W1" s="98" t="s">
        <v>21</v>
      </c>
      <c r="X1" s="97" t="s">
        <v>22</v>
      </c>
      <c r="Y1" s="97" t="s">
        <v>23</v>
      </c>
      <c r="Z1" s="96" t="s">
        <v>24</v>
      </c>
      <c r="AA1" s="98" t="s">
        <v>25</v>
      </c>
      <c r="AB1" s="98" t="s">
        <v>26</v>
      </c>
      <c r="AC1" s="98" t="s">
        <v>27</v>
      </c>
      <c r="AD1" s="95" t="s">
        <v>28</v>
      </c>
    </row>
    <row r="2">
      <c r="A2" s="94" t="s">
        <v>174</v>
      </c>
      <c r="B2" s="99">
        <f t="shared" ref="B2:H2" si="1">B5-B4</f>
        <v>92.63157895</v>
      </c>
      <c r="C2" s="99">
        <f t="shared" si="1"/>
        <v>166.6666667</v>
      </c>
      <c r="D2" s="99">
        <f t="shared" si="1"/>
        <v>136.9369369</v>
      </c>
      <c r="E2" s="99">
        <f t="shared" si="1"/>
        <v>145.5223881</v>
      </c>
      <c r="F2" s="99">
        <f t="shared" si="1"/>
        <v>60.93189964</v>
      </c>
      <c r="G2" s="99">
        <f t="shared" si="1"/>
        <v>33.68421053</v>
      </c>
      <c r="H2" s="99">
        <f t="shared" si="1"/>
        <v>45.71428571</v>
      </c>
      <c r="I2" s="99">
        <v>308.17941952506595</v>
      </c>
      <c r="J2" s="99">
        <v>210.00000000000003</v>
      </c>
      <c r="K2" s="99">
        <v>76.8</v>
      </c>
      <c r="L2" s="99">
        <v>146.59685863874344</v>
      </c>
      <c r="M2" s="99">
        <f t="shared" ref="M2:AD2" si="2">M5-M4</f>
        <v>25.12562814</v>
      </c>
      <c r="N2" s="99">
        <f t="shared" si="2"/>
        <v>8.130081301</v>
      </c>
      <c r="O2" s="99">
        <f t="shared" si="2"/>
        <v>82.57804632</v>
      </c>
      <c r="P2" s="99">
        <f t="shared" si="2"/>
        <v>56.01965602</v>
      </c>
      <c r="Q2" s="99">
        <f t="shared" si="2"/>
        <v>48.14814815</v>
      </c>
      <c r="R2" s="99">
        <f t="shared" si="2"/>
        <v>29.90654206</v>
      </c>
      <c r="S2" s="99">
        <f t="shared" si="2"/>
        <v>47.47774481</v>
      </c>
      <c r="T2" s="99">
        <f t="shared" si="2"/>
        <v>23.72077262</v>
      </c>
      <c r="U2" s="99">
        <f t="shared" si="2"/>
        <v>38.46153846</v>
      </c>
      <c r="V2" s="99">
        <f t="shared" si="2"/>
        <v>39.74167909</v>
      </c>
      <c r="W2" s="99">
        <f t="shared" si="2"/>
        <v>12.48049922</v>
      </c>
      <c r="X2" s="99">
        <f t="shared" si="2"/>
        <v>17.54385965</v>
      </c>
      <c r="Y2" s="99">
        <f t="shared" si="2"/>
        <v>11.32075472</v>
      </c>
      <c r="Z2" s="99">
        <f t="shared" si="2"/>
        <v>7.421150278</v>
      </c>
      <c r="AA2" s="99">
        <f t="shared" si="2"/>
        <v>11.9887165</v>
      </c>
      <c r="AB2" s="99">
        <f t="shared" si="2"/>
        <v>5.361930295</v>
      </c>
      <c r="AC2" s="99">
        <f t="shared" si="2"/>
        <v>2.21116639</v>
      </c>
      <c r="AD2" s="99">
        <f t="shared" si="2"/>
        <v>5.199870003</v>
      </c>
    </row>
    <row r="3">
      <c r="A3" s="82" t="s">
        <v>45</v>
      </c>
      <c r="B3" s="100">
        <v>42.10526315789473</v>
      </c>
      <c r="C3" s="100">
        <v>86.66666666666667</v>
      </c>
      <c r="D3" s="100">
        <v>79.27927927927928</v>
      </c>
      <c r="E3" s="100">
        <v>59.701492537313435</v>
      </c>
      <c r="F3" s="100">
        <v>14.336917562724015</v>
      </c>
      <c r="G3" s="100">
        <v>16.842105263157894</v>
      </c>
      <c r="H3" s="100">
        <v>22.857142857142858</v>
      </c>
      <c r="I3" s="99">
        <v>189.97361477572557</v>
      </c>
      <c r="J3" s="99">
        <v>96.66666666666667</v>
      </c>
      <c r="K3" s="99">
        <v>25.599999999999998</v>
      </c>
      <c r="L3" s="99">
        <v>80.27923211169283</v>
      </c>
      <c r="M3" s="100">
        <v>20.100502512562816</v>
      </c>
      <c r="N3" s="100">
        <v>8.130081300813009</v>
      </c>
      <c r="O3" s="100">
        <v>56.394763343403824</v>
      </c>
      <c r="P3" s="100">
        <v>27.51842751842752</v>
      </c>
      <c r="Q3" s="100">
        <v>20.370370370370374</v>
      </c>
      <c r="R3" s="100">
        <v>11.214953271028037</v>
      </c>
      <c r="S3" s="100">
        <v>17.804154302670625</v>
      </c>
      <c r="T3" s="100">
        <v>6.099627245001694</v>
      </c>
      <c r="U3" s="100">
        <v>16.666666666666668</v>
      </c>
      <c r="V3" s="100">
        <v>24.838549428713364</v>
      </c>
      <c r="W3" s="100">
        <v>8.320332813312532</v>
      </c>
      <c r="X3" s="100">
        <v>7.309941520467836</v>
      </c>
      <c r="Y3" s="100">
        <v>11.320754716981131</v>
      </c>
      <c r="Z3" s="100">
        <v>0.0</v>
      </c>
      <c r="AA3" s="100">
        <v>6.346967559943582</v>
      </c>
      <c r="AB3" s="100">
        <v>4.021447721179625</v>
      </c>
      <c r="AC3" s="100">
        <v>0.7370554634236226</v>
      </c>
      <c r="AD3" s="100">
        <v>5.199870003249919</v>
      </c>
    </row>
    <row r="4">
      <c r="A4" s="82" t="s">
        <v>48</v>
      </c>
      <c r="B4" s="100">
        <v>0.0</v>
      </c>
      <c r="C4" s="100">
        <v>0.0</v>
      </c>
      <c r="D4" s="100">
        <v>0.0</v>
      </c>
      <c r="E4" s="100">
        <v>0.0</v>
      </c>
      <c r="F4" s="100">
        <v>0.0</v>
      </c>
      <c r="G4" s="100">
        <v>0.0</v>
      </c>
      <c r="H4" s="100">
        <v>0.0</v>
      </c>
      <c r="I4" s="99">
        <v>0.0</v>
      </c>
      <c r="J4" s="99">
        <v>0.0</v>
      </c>
      <c r="K4" s="99">
        <v>0.0</v>
      </c>
      <c r="L4" s="99">
        <v>0.0</v>
      </c>
      <c r="M4" s="100">
        <v>0.0</v>
      </c>
      <c r="N4" s="100">
        <v>8.130081300813009</v>
      </c>
      <c r="O4" s="100">
        <v>1.0070493454179255</v>
      </c>
      <c r="P4" s="100">
        <v>1.9656019656019657</v>
      </c>
      <c r="Q4" s="100">
        <v>0.9259259259259259</v>
      </c>
      <c r="R4" s="100">
        <v>0.0</v>
      </c>
      <c r="S4" s="100">
        <v>0.0</v>
      </c>
      <c r="T4" s="100">
        <v>0.6777363605557438</v>
      </c>
      <c r="U4" s="100">
        <v>0.0</v>
      </c>
      <c r="V4" s="100">
        <v>0.0</v>
      </c>
      <c r="W4" s="100">
        <v>0.0</v>
      </c>
      <c r="X4" s="100">
        <v>0.0</v>
      </c>
      <c r="Y4" s="100">
        <v>0.0</v>
      </c>
      <c r="Z4" s="100">
        <v>0.0</v>
      </c>
      <c r="AA4" s="100">
        <v>0.0</v>
      </c>
      <c r="AB4" s="100">
        <v>0.0</v>
      </c>
      <c r="AC4" s="100">
        <v>0.7370554634236226</v>
      </c>
      <c r="AD4" s="100">
        <v>0.0</v>
      </c>
    </row>
    <row r="5">
      <c r="A5" s="101" t="s">
        <v>175</v>
      </c>
      <c r="B5" s="100">
        <v>92.63157894736842</v>
      </c>
      <c r="C5" s="100">
        <v>166.66666666666666</v>
      </c>
      <c r="D5" s="100">
        <v>136.93693693693692</v>
      </c>
      <c r="E5" s="100">
        <v>145.52238805970148</v>
      </c>
      <c r="F5" s="100">
        <v>60.93189964157706</v>
      </c>
      <c r="G5" s="100">
        <v>33.68421052631579</v>
      </c>
      <c r="H5" s="100">
        <v>45.714285714285715</v>
      </c>
      <c r="I5" s="99">
        <v>308.17941952506595</v>
      </c>
      <c r="J5" s="99">
        <v>210.00000000000003</v>
      </c>
      <c r="K5" s="99">
        <v>76.8</v>
      </c>
      <c r="L5" s="99">
        <v>146.59685863874344</v>
      </c>
      <c r="M5" s="100">
        <v>25.12562814070352</v>
      </c>
      <c r="N5" s="100">
        <v>16.260162601626018</v>
      </c>
      <c r="O5" s="100">
        <v>83.58509566968782</v>
      </c>
      <c r="P5" s="100">
        <v>57.98525798525799</v>
      </c>
      <c r="Q5" s="100">
        <v>49.074074074074076</v>
      </c>
      <c r="R5" s="100">
        <v>29.906542056074766</v>
      </c>
      <c r="S5" s="100">
        <v>47.47774480712167</v>
      </c>
      <c r="T5" s="100">
        <v>24.398508980006778</v>
      </c>
      <c r="U5" s="100">
        <v>38.46153846153847</v>
      </c>
      <c r="V5" s="100">
        <v>39.74167908594138</v>
      </c>
      <c r="W5" s="100">
        <v>12.480499219968799</v>
      </c>
      <c r="X5" s="100">
        <v>17.543859649122805</v>
      </c>
      <c r="Y5" s="100">
        <v>11.320754716981131</v>
      </c>
      <c r="Z5" s="100">
        <v>7.421150278293135</v>
      </c>
      <c r="AA5" s="100">
        <v>11.988716502115656</v>
      </c>
      <c r="AB5" s="100">
        <v>5.361930294906166</v>
      </c>
      <c r="AC5" s="100">
        <v>2.9482218536944904</v>
      </c>
      <c r="AD5" s="100">
        <v>5.199870003249919</v>
      </c>
    </row>
    <row r="6">
      <c r="A6" s="82" t="s">
        <v>195</v>
      </c>
      <c r="B6" s="17"/>
      <c r="C6" s="17"/>
      <c r="D6" s="17"/>
      <c r="E6" s="17"/>
      <c r="F6" s="17">
        <v>3.5842293906810037</v>
      </c>
      <c r="G6" s="17"/>
      <c r="H6" s="17"/>
      <c r="I6" s="99">
        <v>4.221635883905013</v>
      </c>
      <c r="J6" s="99">
        <v>0.0</v>
      </c>
      <c r="K6" s="99">
        <v>0.0</v>
      </c>
      <c r="L6" s="99">
        <v>3.4904013961605584</v>
      </c>
      <c r="M6" s="17"/>
      <c r="N6" s="17"/>
      <c r="O6" s="17">
        <v>2.014098690835851</v>
      </c>
      <c r="P6" s="17"/>
      <c r="Q6" s="17"/>
      <c r="R6" s="17"/>
      <c r="S6" s="17"/>
      <c r="T6" s="17"/>
      <c r="U6" s="17">
        <v>1.2820512820512822</v>
      </c>
      <c r="V6" s="17"/>
      <c r="W6" s="17"/>
      <c r="X6" s="17"/>
      <c r="Y6" s="17"/>
      <c r="Z6" s="17">
        <v>3.7105751391465676</v>
      </c>
      <c r="AA6" s="17"/>
      <c r="AB6" s="17"/>
      <c r="AC6" s="17"/>
      <c r="AD6" s="17"/>
    </row>
    <row r="7">
      <c r="A7" s="102" t="s">
        <v>180</v>
      </c>
      <c r="B7" s="99">
        <v>214.73684210526318</v>
      </c>
      <c r="C7" s="99">
        <v>220.0</v>
      </c>
      <c r="D7" s="99">
        <v>209.00900900900902</v>
      </c>
      <c r="E7" s="99">
        <v>220.1492537313433</v>
      </c>
      <c r="F7" s="99">
        <v>93.1899641577061</v>
      </c>
      <c r="G7" s="99">
        <v>88.42105263157895</v>
      </c>
      <c r="H7" s="99">
        <v>91.42857142857143</v>
      </c>
      <c r="I7" s="99">
        <v>227.96833773087073</v>
      </c>
      <c r="J7" s="99">
        <v>203.33333333333337</v>
      </c>
      <c r="K7" s="99">
        <v>166.4</v>
      </c>
      <c r="L7" s="99">
        <v>184.99127399650962</v>
      </c>
      <c r="M7" s="99">
        <v>30.15075376884422</v>
      </c>
      <c r="N7" s="99">
        <v>8.130081300813009</v>
      </c>
      <c r="O7" s="99">
        <v>65.45820745216515</v>
      </c>
      <c r="P7" s="17"/>
      <c r="Q7" s="99">
        <v>56.48148148148148</v>
      </c>
      <c r="R7" s="99">
        <v>41.12149532710281</v>
      </c>
      <c r="S7" s="99">
        <v>94.95548961424333</v>
      </c>
      <c r="T7" s="99">
        <v>33.209081667231445</v>
      </c>
      <c r="U7" s="99">
        <v>43.589743589743584</v>
      </c>
      <c r="V7" s="99">
        <v>37.754595131644315</v>
      </c>
      <c r="W7" s="99">
        <v>24.960998439937597</v>
      </c>
      <c r="X7" s="99">
        <v>17.543859649122805</v>
      </c>
      <c r="Y7" s="99">
        <v>11.320754716981131</v>
      </c>
      <c r="Z7" s="99">
        <v>7.421150278293135</v>
      </c>
      <c r="AA7" s="99">
        <v>9.167842031029618</v>
      </c>
      <c r="AB7" s="99">
        <v>10.723860589812332</v>
      </c>
      <c r="AC7" s="99">
        <v>11.792887414777962</v>
      </c>
      <c r="AD7" s="99">
        <v>0.0</v>
      </c>
    </row>
    <row r="8">
      <c r="A8" s="103" t="s">
        <v>196</v>
      </c>
      <c r="B8" s="100">
        <v>16.842105263157894</v>
      </c>
      <c r="C8" s="100">
        <v>16.666666666666668</v>
      </c>
      <c r="D8" s="100">
        <v>14.414414414414415</v>
      </c>
      <c r="E8" s="100">
        <v>33.582089552238806</v>
      </c>
      <c r="F8" s="100">
        <v>3.5842293906810037</v>
      </c>
      <c r="G8" s="100">
        <v>0.0</v>
      </c>
      <c r="H8" s="100">
        <v>19.04761904761905</v>
      </c>
      <c r="I8" s="99">
        <v>12.66490765171504</v>
      </c>
      <c r="J8" s="99">
        <v>6.666666666666666</v>
      </c>
      <c r="K8" s="99">
        <v>21.333333333333332</v>
      </c>
      <c r="L8" s="99">
        <v>31.413612565445032</v>
      </c>
      <c r="M8" s="100">
        <v>0.0</v>
      </c>
      <c r="N8" s="100">
        <v>0.0</v>
      </c>
      <c r="O8" s="100">
        <v>2.014098690835851</v>
      </c>
      <c r="P8" s="100">
        <v>4.914004914004914</v>
      </c>
      <c r="Q8" s="100">
        <v>6.481481481481481</v>
      </c>
      <c r="R8" s="100">
        <v>0.0</v>
      </c>
      <c r="S8" s="100">
        <v>0.0</v>
      </c>
      <c r="T8" s="100">
        <v>0.0</v>
      </c>
      <c r="U8" s="100">
        <v>2.5641025641025643</v>
      </c>
      <c r="V8" s="100">
        <v>1.987083954297069</v>
      </c>
      <c r="W8" s="100">
        <v>8.320332813312532</v>
      </c>
      <c r="X8" s="100">
        <v>1.461988304093567</v>
      </c>
      <c r="Y8" s="100">
        <v>0.0</v>
      </c>
      <c r="Z8" s="100">
        <v>3.7105751391465676</v>
      </c>
      <c r="AA8" s="100">
        <v>2.1156558533145278</v>
      </c>
      <c r="AB8" s="100">
        <v>0.0</v>
      </c>
      <c r="AC8" s="100">
        <v>0.0</v>
      </c>
      <c r="AD8" s="100">
        <v>0.0</v>
      </c>
    </row>
    <row r="9">
      <c r="A9" s="104">
        <v>45455.0</v>
      </c>
      <c r="B9" s="99">
        <v>256.84210526315786</v>
      </c>
      <c r="C9" s="99">
        <v>250.0</v>
      </c>
      <c r="D9" s="99">
        <v>237.83783783783784</v>
      </c>
      <c r="E9" s="99">
        <v>145.52238805970148</v>
      </c>
      <c r="F9" s="99">
        <v>107.52688172043011</v>
      </c>
      <c r="G9" s="99">
        <v>58.94736842105263</v>
      </c>
      <c r="H9" s="99">
        <v>99.04761904761905</v>
      </c>
      <c r="I9" s="99">
        <v>287.0712401055409</v>
      </c>
      <c r="J9" s="99">
        <v>183.33333333333337</v>
      </c>
      <c r="K9" s="99">
        <v>179.20000000000002</v>
      </c>
      <c r="L9" s="99">
        <v>205.93368237347292</v>
      </c>
      <c r="M9" s="99">
        <v>20.100502512562816</v>
      </c>
      <c r="N9" s="99">
        <v>0.0</v>
      </c>
      <c r="O9" s="99">
        <v>66.46525679758308</v>
      </c>
      <c r="P9" s="99">
        <v>73.71007371007371</v>
      </c>
      <c r="Q9" s="99">
        <v>51.85185185185185</v>
      </c>
      <c r="R9" s="99">
        <v>29.906542056074766</v>
      </c>
      <c r="S9" s="99">
        <v>29.673590504451038</v>
      </c>
      <c r="T9" s="99">
        <v>38.630972551677395</v>
      </c>
      <c r="U9" s="99">
        <v>38.46153846153847</v>
      </c>
      <c r="V9" s="99">
        <v>29.806259314456035</v>
      </c>
      <c r="W9" s="99">
        <v>29.121164846593864</v>
      </c>
      <c r="X9" s="99">
        <v>17.543859649122805</v>
      </c>
      <c r="Y9" s="99">
        <v>15.09433962264151</v>
      </c>
      <c r="Z9" s="99">
        <v>7.421150278293135</v>
      </c>
      <c r="AA9" s="99">
        <v>10.578279266572636</v>
      </c>
      <c r="AB9" s="99">
        <v>9.383378016085791</v>
      </c>
      <c r="AC9" s="99">
        <v>7.3705546342362265</v>
      </c>
      <c r="AD9" s="99">
        <v>0.0</v>
      </c>
    </row>
    <row r="10">
      <c r="A10" s="82" t="s">
        <v>176</v>
      </c>
      <c r="B10" s="100">
        <f t="shared" ref="B10:H10" si="3">B11-B6</f>
        <v>332.6315789</v>
      </c>
      <c r="C10" s="100">
        <f t="shared" si="3"/>
        <v>400</v>
      </c>
      <c r="D10" s="100">
        <f t="shared" si="3"/>
        <v>360.3603604</v>
      </c>
      <c r="E10" s="100">
        <f t="shared" si="3"/>
        <v>257.4626866</v>
      </c>
      <c r="F10" s="100">
        <f t="shared" si="3"/>
        <v>161.2903226</v>
      </c>
      <c r="G10" s="100">
        <f t="shared" si="3"/>
        <v>92.63157895</v>
      </c>
      <c r="H10" s="100">
        <f t="shared" si="3"/>
        <v>125.7142857</v>
      </c>
      <c r="I10" s="99">
        <v>578.3641160949869</v>
      </c>
      <c r="J10" s="99">
        <v>386.6666666666667</v>
      </c>
      <c r="K10" s="99">
        <v>234.66666666666669</v>
      </c>
      <c r="L10" s="99">
        <v>317.6265270506108</v>
      </c>
      <c r="M10" s="100">
        <f t="shared" ref="M10:AD10" si="4">M11-M6</f>
        <v>45.22613065</v>
      </c>
      <c r="N10" s="100">
        <f t="shared" si="4"/>
        <v>16.2601626</v>
      </c>
      <c r="O10" s="100">
        <f t="shared" si="4"/>
        <v>146.0221551</v>
      </c>
      <c r="P10" s="100">
        <f t="shared" si="4"/>
        <v>126.7813268</v>
      </c>
      <c r="Q10" s="100">
        <f t="shared" si="4"/>
        <v>94.44444444</v>
      </c>
      <c r="R10" s="100">
        <f t="shared" si="4"/>
        <v>59.81308411</v>
      </c>
      <c r="S10" s="100">
        <f t="shared" si="4"/>
        <v>77.15133531</v>
      </c>
      <c r="T10" s="100">
        <f t="shared" si="4"/>
        <v>63.02948153</v>
      </c>
      <c r="U10" s="100">
        <f t="shared" si="4"/>
        <v>73.07692308</v>
      </c>
      <c r="V10" s="100">
        <f t="shared" si="4"/>
        <v>67.56085445</v>
      </c>
      <c r="W10" s="100">
        <f t="shared" si="4"/>
        <v>33.28133125</v>
      </c>
      <c r="X10" s="100">
        <f t="shared" si="4"/>
        <v>33.62573099</v>
      </c>
      <c r="Y10" s="100">
        <f t="shared" si="4"/>
        <v>26.41509434</v>
      </c>
      <c r="Z10" s="100">
        <f t="shared" si="4"/>
        <v>7.421150278</v>
      </c>
      <c r="AA10" s="100">
        <f t="shared" si="4"/>
        <v>20.45133992</v>
      </c>
      <c r="AB10" s="100">
        <f t="shared" si="4"/>
        <v>14.74530831</v>
      </c>
      <c r="AC10" s="100">
        <f t="shared" si="4"/>
        <v>10.31877649</v>
      </c>
      <c r="AD10" s="100">
        <f t="shared" si="4"/>
        <v>5.199870003</v>
      </c>
    </row>
    <row r="11">
      <c r="A11" s="82" t="s">
        <v>197</v>
      </c>
      <c r="B11" s="100">
        <f t="shared" ref="B11:H11" si="5">B12-B8</f>
        <v>332.6315789</v>
      </c>
      <c r="C11" s="100">
        <f t="shared" si="5"/>
        <v>400</v>
      </c>
      <c r="D11" s="100">
        <f t="shared" si="5"/>
        <v>360.3603604</v>
      </c>
      <c r="E11" s="100">
        <f t="shared" si="5"/>
        <v>257.4626866</v>
      </c>
      <c r="F11" s="100">
        <f t="shared" si="5"/>
        <v>164.874552</v>
      </c>
      <c r="G11" s="100">
        <f t="shared" si="5"/>
        <v>92.63157895</v>
      </c>
      <c r="H11" s="100">
        <f t="shared" si="5"/>
        <v>125.7142857</v>
      </c>
      <c r="I11" s="99">
        <v>582.5857519788918</v>
      </c>
      <c r="J11" s="99">
        <v>386.6666666666667</v>
      </c>
      <c r="K11" s="99">
        <v>234.66666666666669</v>
      </c>
      <c r="L11" s="99">
        <v>321.11692844677134</v>
      </c>
      <c r="M11" s="100">
        <f t="shared" ref="M11:AD11" si="6">M12-M8</f>
        <v>45.22613065</v>
      </c>
      <c r="N11" s="100">
        <f t="shared" si="6"/>
        <v>16.2601626</v>
      </c>
      <c r="O11" s="100">
        <f t="shared" si="6"/>
        <v>148.0362538</v>
      </c>
      <c r="P11" s="100">
        <f t="shared" si="6"/>
        <v>126.7813268</v>
      </c>
      <c r="Q11" s="100">
        <f t="shared" si="6"/>
        <v>94.44444444</v>
      </c>
      <c r="R11" s="100">
        <f t="shared" si="6"/>
        <v>59.81308411</v>
      </c>
      <c r="S11" s="100">
        <f t="shared" si="6"/>
        <v>77.15133531</v>
      </c>
      <c r="T11" s="100">
        <f t="shared" si="6"/>
        <v>63.02948153</v>
      </c>
      <c r="U11" s="100">
        <f t="shared" si="6"/>
        <v>74.35897436</v>
      </c>
      <c r="V11" s="100">
        <f t="shared" si="6"/>
        <v>67.56085445</v>
      </c>
      <c r="W11" s="100">
        <f t="shared" si="6"/>
        <v>33.28133125</v>
      </c>
      <c r="X11" s="100">
        <f t="shared" si="6"/>
        <v>33.62573099</v>
      </c>
      <c r="Y11" s="100">
        <f t="shared" si="6"/>
        <v>26.41509434</v>
      </c>
      <c r="Z11" s="100">
        <f t="shared" si="6"/>
        <v>11.13172542</v>
      </c>
      <c r="AA11" s="100">
        <f t="shared" si="6"/>
        <v>20.45133992</v>
      </c>
      <c r="AB11" s="100">
        <f t="shared" si="6"/>
        <v>14.74530831</v>
      </c>
      <c r="AC11" s="100">
        <f t="shared" si="6"/>
        <v>10.31877649</v>
      </c>
      <c r="AD11" s="100">
        <f t="shared" si="6"/>
        <v>5.199870003</v>
      </c>
    </row>
    <row r="12">
      <c r="A12" s="82" t="s">
        <v>177</v>
      </c>
      <c r="B12" s="100">
        <v>349.4736842105263</v>
      </c>
      <c r="C12" s="100">
        <v>416.66666666666663</v>
      </c>
      <c r="D12" s="100">
        <v>374.77477477477476</v>
      </c>
      <c r="E12" s="100">
        <v>291.04477611940297</v>
      </c>
      <c r="F12" s="100">
        <v>168.4587813620072</v>
      </c>
      <c r="G12" s="100">
        <v>92.63157894736841</v>
      </c>
      <c r="H12" s="100">
        <v>144.76190476190476</v>
      </c>
      <c r="I12" s="99">
        <v>595.2506596306068</v>
      </c>
      <c r="J12" s="99">
        <v>393.33333333333337</v>
      </c>
      <c r="K12" s="99">
        <v>256.0</v>
      </c>
      <c r="L12" s="99">
        <v>352.53054101221636</v>
      </c>
      <c r="M12" s="100">
        <v>45.22613065326634</v>
      </c>
      <c r="N12" s="100">
        <v>16.260162601626018</v>
      </c>
      <c r="O12" s="100">
        <v>150.0503524672709</v>
      </c>
      <c r="P12" s="100">
        <v>131.6953316953317</v>
      </c>
      <c r="Q12" s="100">
        <v>100.92592592592592</v>
      </c>
      <c r="R12" s="100">
        <v>59.81308411214953</v>
      </c>
      <c r="S12" s="100">
        <v>77.15133531157271</v>
      </c>
      <c r="T12" s="100">
        <v>63.02948153168417</v>
      </c>
      <c r="U12" s="100">
        <v>76.92307692307693</v>
      </c>
      <c r="V12" s="100">
        <v>69.54793840039741</v>
      </c>
      <c r="W12" s="100">
        <v>41.60166406656266</v>
      </c>
      <c r="X12" s="100">
        <v>35.08771929824561</v>
      </c>
      <c r="Y12" s="100">
        <v>26.41509433962264</v>
      </c>
      <c r="Z12" s="100">
        <v>14.84230055658627</v>
      </c>
      <c r="AA12" s="100">
        <v>22.566995768688294</v>
      </c>
      <c r="AB12" s="100">
        <v>14.745308310991957</v>
      </c>
      <c r="AC12" s="100">
        <v>10.318776487930716</v>
      </c>
      <c r="AD12" s="100">
        <v>5.199870003249919</v>
      </c>
    </row>
    <row r="13">
      <c r="A13" s="82" t="s">
        <v>198</v>
      </c>
      <c r="B13" s="17"/>
      <c r="C13" s="17">
        <v>6.666666666666667</v>
      </c>
      <c r="D13" s="17"/>
      <c r="E13" s="17">
        <v>11.194029850746269</v>
      </c>
      <c r="F13" s="17">
        <v>46.59498207885305</v>
      </c>
      <c r="G13" s="17"/>
      <c r="H13" s="17">
        <v>7.619047619047619</v>
      </c>
      <c r="I13" s="99">
        <v>0.0</v>
      </c>
      <c r="J13" s="99">
        <v>0.0</v>
      </c>
      <c r="K13" s="99">
        <v>4.2666666666666675</v>
      </c>
      <c r="L13" s="99">
        <v>0.0</v>
      </c>
      <c r="M13" s="17"/>
      <c r="N13" s="17"/>
      <c r="O13" s="17">
        <v>6.042296072507553</v>
      </c>
      <c r="P13" s="17">
        <v>0.9828009828009828</v>
      </c>
      <c r="Q13" s="17"/>
      <c r="R13" s="17"/>
      <c r="S13" s="17"/>
      <c r="T13" s="17">
        <v>1.3554727211114876</v>
      </c>
      <c r="U13" s="17"/>
      <c r="V13" s="17"/>
      <c r="W13" s="17"/>
      <c r="X13" s="17">
        <v>2.923976608187134</v>
      </c>
      <c r="Y13" s="17">
        <v>3.7735849056603774</v>
      </c>
      <c r="Z13" s="17"/>
      <c r="AA13" s="17"/>
      <c r="AB13" s="17"/>
      <c r="AC13" s="17"/>
      <c r="AD13" s="17"/>
    </row>
    <row r="14">
      <c r="A14" s="82" t="s">
        <v>199</v>
      </c>
      <c r="B14" s="100">
        <v>248.42105263157896</v>
      </c>
      <c r="C14" s="100">
        <v>66.66666666666667</v>
      </c>
      <c r="D14" s="100">
        <v>86.48648648648648</v>
      </c>
      <c r="E14" s="100">
        <v>67.16417910447761</v>
      </c>
      <c r="F14" s="100">
        <v>35.842293906810035</v>
      </c>
      <c r="G14" s="100">
        <v>0.0</v>
      </c>
      <c r="H14" s="100">
        <v>45.714285714285715</v>
      </c>
      <c r="I14" s="99">
        <v>118.20580474934037</v>
      </c>
      <c r="J14" s="99">
        <v>49.99999999999999</v>
      </c>
      <c r="K14" s="99">
        <v>132.26666666666668</v>
      </c>
      <c r="L14" s="99">
        <v>34.904013961605585</v>
      </c>
      <c r="M14" s="100">
        <v>15.07537688442211</v>
      </c>
      <c r="N14" s="100">
        <v>8.130081300813009</v>
      </c>
      <c r="O14" s="100">
        <v>20.14098690835851</v>
      </c>
      <c r="P14" s="100">
        <v>24.570024570024568</v>
      </c>
      <c r="Q14" s="100">
        <v>13.888888888888888</v>
      </c>
      <c r="R14" s="100">
        <v>0.0</v>
      </c>
      <c r="S14" s="100">
        <v>5.934718100890208</v>
      </c>
      <c r="T14" s="100">
        <v>5.421890884445951</v>
      </c>
      <c r="U14" s="100">
        <v>14.102564102564102</v>
      </c>
      <c r="V14" s="100">
        <v>11.922503725782414</v>
      </c>
      <c r="W14" s="100">
        <v>12.480499219968799</v>
      </c>
      <c r="X14" s="100">
        <v>13.157894736842104</v>
      </c>
      <c r="Y14" s="100">
        <v>7.547169811320755</v>
      </c>
      <c r="Z14" s="100">
        <v>0.0</v>
      </c>
      <c r="AA14" s="100">
        <v>0.7052186177715092</v>
      </c>
      <c r="AB14" s="100">
        <v>2.680965147453083</v>
      </c>
      <c r="AC14" s="100">
        <v>2.2111663902708676</v>
      </c>
      <c r="AD14" s="100">
        <v>2.5999350016249596</v>
      </c>
    </row>
    <row r="15">
      <c r="A15" s="102" t="s">
        <v>200</v>
      </c>
      <c r="B15" s="99">
        <v>656.8421052631579</v>
      </c>
      <c r="C15" s="99">
        <v>326.6666666666667</v>
      </c>
      <c r="D15" s="99">
        <v>468.4684684684685</v>
      </c>
      <c r="E15" s="99">
        <v>466.4179104477612</v>
      </c>
      <c r="F15" s="99">
        <v>286.7383512544803</v>
      </c>
      <c r="G15" s="99">
        <v>298.9473684210526</v>
      </c>
      <c r="H15" s="99">
        <v>255.23809523809527</v>
      </c>
      <c r="I15" s="99">
        <v>396.8337730870712</v>
      </c>
      <c r="J15" s="99">
        <v>466.66666666666663</v>
      </c>
      <c r="K15" s="99">
        <v>486.4</v>
      </c>
      <c r="L15" s="99">
        <v>328.09773123909247</v>
      </c>
      <c r="M15" s="99">
        <v>170.8542713567839</v>
      </c>
      <c r="N15" s="99">
        <v>154.47154471544715</v>
      </c>
      <c r="O15" s="99">
        <v>249.7482376636455</v>
      </c>
      <c r="P15" s="99">
        <v>253.56265356265357</v>
      </c>
      <c r="Q15" s="99">
        <v>275.9259259259259</v>
      </c>
      <c r="R15" s="99">
        <v>272.89719626168227</v>
      </c>
      <c r="S15" s="99">
        <v>237.3887240356083</v>
      </c>
      <c r="T15" s="99">
        <v>230.43036258895287</v>
      </c>
      <c r="U15" s="99">
        <v>188.46153846153845</v>
      </c>
      <c r="V15" s="99">
        <v>154.9925484351714</v>
      </c>
      <c r="W15" s="99">
        <v>212.16848673946959</v>
      </c>
      <c r="X15" s="99">
        <v>146.19883040935673</v>
      </c>
      <c r="Y15" s="99">
        <v>143.39622641509433</v>
      </c>
      <c r="Z15" s="99">
        <v>133.58070500927644</v>
      </c>
      <c r="AA15" s="99">
        <v>113.54019746121298</v>
      </c>
      <c r="AB15" s="99">
        <v>92.49329758713138</v>
      </c>
      <c r="AC15" s="99">
        <v>78.86493458632762</v>
      </c>
      <c r="AD15" s="99">
        <v>83.19792005199871</v>
      </c>
    </row>
    <row r="16">
      <c r="A16" s="82" t="s">
        <v>178</v>
      </c>
      <c r="B16" s="100">
        <f t="shared" ref="B16:H16" si="7">B18-B13-B6</f>
        <v>741.0526316</v>
      </c>
      <c r="C16" s="100">
        <f t="shared" si="7"/>
        <v>653.3333333</v>
      </c>
      <c r="D16" s="100">
        <f t="shared" si="7"/>
        <v>742.3423423</v>
      </c>
      <c r="E16" s="100">
        <f t="shared" si="7"/>
        <v>645.5223881</v>
      </c>
      <c r="F16" s="100">
        <f t="shared" si="7"/>
        <v>365.5913978</v>
      </c>
      <c r="G16" s="100">
        <f t="shared" si="7"/>
        <v>391.5789474</v>
      </c>
      <c r="H16" s="100">
        <f t="shared" si="7"/>
        <v>327.6190476</v>
      </c>
      <c r="I16" s="99">
        <v>856.9920844327178</v>
      </c>
      <c r="J16" s="99">
        <v>803.3333333333335</v>
      </c>
      <c r="K16" s="99">
        <v>584.5333333333333</v>
      </c>
      <c r="L16" s="99">
        <v>610.8202443280977</v>
      </c>
      <c r="M16" s="100">
        <f t="shared" ref="M16:AD16" si="8">M18-M13-M6</f>
        <v>201.0050251</v>
      </c>
      <c r="N16" s="100">
        <f t="shared" si="8"/>
        <v>154.4715447</v>
      </c>
      <c r="O16" s="100">
        <f t="shared" si="8"/>
        <v>368.5800604</v>
      </c>
      <c r="P16" s="100">
        <f t="shared" si="8"/>
        <v>352.8255528</v>
      </c>
      <c r="Q16" s="100">
        <f t="shared" si="8"/>
        <v>355.5555556</v>
      </c>
      <c r="R16" s="100">
        <f t="shared" si="8"/>
        <v>332.7102804</v>
      </c>
      <c r="S16" s="100">
        <f t="shared" si="8"/>
        <v>308.6053412</v>
      </c>
      <c r="T16" s="100">
        <f t="shared" si="8"/>
        <v>286.0047442</v>
      </c>
      <c r="U16" s="100">
        <f t="shared" si="8"/>
        <v>247.4358974</v>
      </c>
      <c r="V16" s="100">
        <f t="shared" si="8"/>
        <v>210.6308992</v>
      </c>
      <c r="W16" s="100">
        <f t="shared" si="8"/>
        <v>232.9693188</v>
      </c>
      <c r="X16" s="100">
        <f t="shared" si="8"/>
        <v>163.7426901</v>
      </c>
      <c r="Y16" s="100">
        <f t="shared" si="8"/>
        <v>158.490566</v>
      </c>
      <c r="Z16" s="100">
        <f t="shared" si="8"/>
        <v>141.0018553</v>
      </c>
      <c r="AA16" s="100">
        <f t="shared" si="8"/>
        <v>133.2863188</v>
      </c>
      <c r="AB16" s="100">
        <f t="shared" si="8"/>
        <v>104.5576408</v>
      </c>
      <c r="AC16" s="100">
        <f t="shared" si="8"/>
        <v>86.23548922</v>
      </c>
      <c r="AD16" s="100">
        <f t="shared" si="8"/>
        <v>85.79785505</v>
      </c>
    </row>
    <row r="17">
      <c r="A17" s="82" t="s">
        <v>201</v>
      </c>
      <c r="B17" s="100">
        <v>1006.3157894736842</v>
      </c>
      <c r="C17" s="100">
        <v>743.3333333333333</v>
      </c>
      <c r="D17" s="100">
        <v>843.2432432432432</v>
      </c>
      <c r="E17" s="100">
        <v>757.4626865671642</v>
      </c>
      <c r="F17" s="100">
        <v>455.19713261648747</v>
      </c>
      <c r="G17" s="100">
        <v>391.57894736842104</v>
      </c>
      <c r="H17" s="100">
        <v>400.0</v>
      </c>
      <c r="I17" s="99">
        <v>992.0844327176782</v>
      </c>
      <c r="J17" s="99">
        <v>860.0</v>
      </c>
      <c r="K17" s="99">
        <v>742.4</v>
      </c>
      <c r="L17" s="99">
        <v>680.6282722513088</v>
      </c>
      <c r="M17" s="100">
        <v>216.08040201005025</v>
      </c>
      <c r="N17" s="100">
        <v>170.73170731707316</v>
      </c>
      <c r="O17" s="100">
        <v>399.7985901309164</v>
      </c>
      <c r="P17" s="100">
        <v>385.2579852579853</v>
      </c>
      <c r="Q17" s="100">
        <v>376.85185185185185</v>
      </c>
      <c r="R17" s="100">
        <v>332.7102803738318</v>
      </c>
      <c r="S17" s="100">
        <v>314.540059347181</v>
      </c>
      <c r="T17" s="100">
        <v>293.45984412063706</v>
      </c>
      <c r="U17" s="100">
        <v>265.38461538461536</v>
      </c>
      <c r="V17" s="100">
        <v>224.5404868355688</v>
      </c>
      <c r="W17" s="100">
        <v>253.77015080603223</v>
      </c>
      <c r="X17" s="100">
        <v>181.28654970760235</v>
      </c>
      <c r="Y17" s="100">
        <v>169.81132075471697</v>
      </c>
      <c r="Z17" s="100">
        <v>148.42300556586272</v>
      </c>
      <c r="AA17" s="100">
        <v>136.10719322990127</v>
      </c>
      <c r="AB17" s="100">
        <v>107.23860589812334</v>
      </c>
      <c r="AC17" s="100">
        <v>89.18371107425834</v>
      </c>
      <c r="AD17" s="100">
        <v>88.39779005524862</v>
      </c>
    </row>
    <row r="18">
      <c r="A18" s="82" t="s">
        <v>202</v>
      </c>
      <c r="B18" s="17">
        <v>741.0526315789473</v>
      </c>
      <c r="C18" s="17">
        <v>660.0</v>
      </c>
      <c r="D18" s="17">
        <v>742.3423423423424</v>
      </c>
      <c r="E18" s="17">
        <v>656.7164179104477</v>
      </c>
      <c r="F18" s="17">
        <v>415.77060931899643</v>
      </c>
      <c r="G18" s="17">
        <v>391.57894736842104</v>
      </c>
      <c r="H18" s="17">
        <v>335.23809523809524</v>
      </c>
      <c r="I18" s="99">
        <v>861.2137203166227</v>
      </c>
      <c r="J18" s="99">
        <v>803.3333333333335</v>
      </c>
      <c r="K18" s="99">
        <v>588.8</v>
      </c>
      <c r="L18" s="99">
        <v>614.3106457242582</v>
      </c>
      <c r="M18" s="17">
        <v>201.00502512562815</v>
      </c>
      <c r="N18" s="17">
        <v>154.47154471544715</v>
      </c>
      <c r="O18" s="17">
        <v>376.63645518630415</v>
      </c>
      <c r="P18" s="17">
        <v>353.80835380835384</v>
      </c>
      <c r="Q18" s="17">
        <v>355.55555555555554</v>
      </c>
      <c r="R18" s="17">
        <v>332.7102803738318</v>
      </c>
      <c r="S18" s="17">
        <v>308.6053412462908</v>
      </c>
      <c r="T18" s="17">
        <v>287.3602168756354</v>
      </c>
      <c r="U18" s="17">
        <v>248.7179487179487</v>
      </c>
      <c r="V18" s="17">
        <v>210.63089915548932</v>
      </c>
      <c r="W18" s="17">
        <v>232.9693187727509</v>
      </c>
      <c r="X18" s="17">
        <v>166.66666666666666</v>
      </c>
      <c r="Y18" s="17">
        <v>162.26415094339623</v>
      </c>
      <c r="Z18" s="17">
        <v>144.71243042671617</v>
      </c>
      <c r="AA18" s="17">
        <v>133.2863187588152</v>
      </c>
      <c r="AB18" s="17">
        <v>104.55764075067026</v>
      </c>
      <c r="AC18" s="17">
        <v>86.23548922056386</v>
      </c>
      <c r="AD18" s="17">
        <v>85.79785505362366</v>
      </c>
    </row>
    <row r="19">
      <c r="A19" s="82" t="s">
        <v>203</v>
      </c>
      <c r="B19" s="17">
        <f t="shared" ref="B19:H19" si="9">B23-B21-B20-B14-B13-B8-B6-B4</f>
        <v>829.4736842</v>
      </c>
      <c r="C19" s="17">
        <f t="shared" si="9"/>
        <v>783.3333333</v>
      </c>
      <c r="D19" s="17">
        <f t="shared" si="9"/>
        <v>821.6216216</v>
      </c>
      <c r="E19" s="17">
        <f t="shared" si="9"/>
        <v>720.1492537</v>
      </c>
      <c r="F19" s="17">
        <f t="shared" si="9"/>
        <v>440.8602151</v>
      </c>
      <c r="G19" s="17">
        <f t="shared" si="9"/>
        <v>703.1578947</v>
      </c>
      <c r="H19" s="17">
        <f t="shared" si="9"/>
        <v>377.1428571</v>
      </c>
      <c r="I19" s="99">
        <v>962.5329815303434</v>
      </c>
      <c r="J19" s="99">
        <v>1040.0</v>
      </c>
      <c r="K19" s="99">
        <v>682.6666666666667</v>
      </c>
      <c r="L19" s="99">
        <v>729.4938917975568</v>
      </c>
      <c r="M19" s="17">
        <f t="shared" ref="M19:AD19" si="10">M23-M21-M20-M14-M13-M8-M6-M4</f>
        <v>276.3819095</v>
      </c>
      <c r="N19" s="17">
        <f t="shared" si="10"/>
        <v>154.4715447</v>
      </c>
      <c r="O19" s="17">
        <f t="shared" si="10"/>
        <v>478.3484391</v>
      </c>
      <c r="P19" s="17">
        <f t="shared" si="10"/>
        <v>438.3292383</v>
      </c>
      <c r="Q19" s="17">
        <f t="shared" si="10"/>
        <v>549.0740741</v>
      </c>
      <c r="R19" s="17">
        <f t="shared" si="10"/>
        <v>407.4766355</v>
      </c>
      <c r="S19" s="17">
        <f t="shared" si="10"/>
        <v>534.1246291</v>
      </c>
      <c r="T19" s="17">
        <f t="shared" si="10"/>
        <v>363.9444256</v>
      </c>
      <c r="U19" s="17">
        <f t="shared" si="10"/>
        <v>297.4358974</v>
      </c>
      <c r="V19" s="17">
        <f t="shared" si="10"/>
        <v>234.4759066</v>
      </c>
      <c r="W19" s="17">
        <f t="shared" si="10"/>
        <v>245.449818</v>
      </c>
      <c r="X19" s="17">
        <f t="shared" si="10"/>
        <v>222.2222222</v>
      </c>
      <c r="Y19" s="17">
        <f t="shared" si="10"/>
        <v>192.4528302</v>
      </c>
      <c r="Z19" s="17">
        <f t="shared" si="10"/>
        <v>174.3970315</v>
      </c>
      <c r="AA19" s="17">
        <f t="shared" si="10"/>
        <v>155.8533145</v>
      </c>
      <c r="AB19" s="17">
        <f t="shared" si="10"/>
        <v>107.2386059</v>
      </c>
      <c r="AC19" s="17">
        <f t="shared" si="10"/>
        <v>95.08015478</v>
      </c>
      <c r="AD19" s="17">
        <f t="shared" si="10"/>
        <v>88.39779006</v>
      </c>
    </row>
    <row r="20">
      <c r="A20" s="82" t="s">
        <v>204</v>
      </c>
      <c r="B20" s="17">
        <v>16.842105263157894</v>
      </c>
      <c r="C20" s="17">
        <v>23.333333333333336</v>
      </c>
      <c r="D20" s="17"/>
      <c r="E20" s="17">
        <v>18.656716417910445</v>
      </c>
      <c r="F20" s="17">
        <v>43.01075268817205</v>
      </c>
      <c r="G20" s="17"/>
      <c r="H20" s="17">
        <v>3.8095238095238093</v>
      </c>
      <c r="I20" s="99">
        <v>21.10817941952507</v>
      </c>
      <c r="J20" s="99">
        <v>16.666666666666664</v>
      </c>
      <c r="K20" s="99">
        <v>17.06666666666667</v>
      </c>
      <c r="L20" s="99">
        <v>6.980802792321117</v>
      </c>
      <c r="M20" s="17"/>
      <c r="N20" s="17">
        <v>8.130081300813009</v>
      </c>
      <c r="O20" s="17">
        <v>13.091641490433032</v>
      </c>
      <c r="P20" s="17">
        <v>10.81081081081081</v>
      </c>
      <c r="Q20" s="17">
        <v>0.9259259259259259</v>
      </c>
      <c r="R20" s="17"/>
      <c r="S20" s="17"/>
      <c r="T20" s="17">
        <v>4.744154523890207</v>
      </c>
      <c r="U20" s="17">
        <v>2.5641025641025643</v>
      </c>
      <c r="V20" s="17">
        <v>3.974167908594138</v>
      </c>
      <c r="W20" s="17">
        <v>4.160166406656266</v>
      </c>
      <c r="X20" s="17">
        <v>8.771929824561402</v>
      </c>
      <c r="Y20" s="17">
        <v>7.547169811320755</v>
      </c>
      <c r="Z20" s="17">
        <v>3.7105751391465676</v>
      </c>
      <c r="AA20" s="17">
        <v>2.8208744710860367</v>
      </c>
      <c r="AB20" s="17"/>
      <c r="AC20" s="17"/>
      <c r="AD20" s="17"/>
    </row>
    <row r="21">
      <c r="A21" s="82" t="s">
        <v>205</v>
      </c>
      <c r="B21" s="100">
        <v>130.52631578947367</v>
      </c>
      <c r="C21" s="100">
        <v>80.0</v>
      </c>
      <c r="D21" s="100">
        <v>122.52252252252252</v>
      </c>
      <c r="E21" s="100">
        <v>89.55223880597015</v>
      </c>
      <c r="F21" s="100">
        <v>39.42652329749104</v>
      </c>
      <c r="G21" s="100">
        <v>0.0</v>
      </c>
      <c r="H21" s="100">
        <v>121.9047619047619</v>
      </c>
      <c r="I21" s="99">
        <v>71.76781002638522</v>
      </c>
      <c r="J21" s="99">
        <v>13.333333333333332</v>
      </c>
      <c r="K21" s="99">
        <v>93.86666666666666</v>
      </c>
      <c r="L21" s="99">
        <v>20.94240837696335</v>
      </c>
      <c r="M21" s="100">
        <v>5.025125628140704</v>
      </c>
      <c r="N21" s="100">
        <v>8.130081300813009</v>
      </c>
      <c r="O21" s="100">
        <v>12.084592145015106</v>
      </c>
      <c r="P21" s="100">
        <v>20.638820638820636</v>
      </c>
      <c r="Q21" s="100">
        <v>3.7037037037037037</v>
      </c>
      <c r="R21" s="100">
        <v>0.0</v>
      </c>
      <c r="S21" s="100">
        <v>5.934718100890208</v>
      </c>
      <c r="T21" s="100">
        <v>2.0332090816672315</v>
      </c>
      <c r="U21" s="100">
        <v>12.82051282051282</v>
      </c>
      <c r="V21" s="100">
        <v>10.92896174863388</v>
      </c>
      <c r="W21" s="100">
        <v>0.0</v>
      </c>
      <c r="X21" s="100">
        <v>7.309941520467836</v>
      </c>
      <c r="Y21" s="100">
        <v>11.320754716981131</v>
      </c>
      <c r="Z21" s="100">
        <v>3.7105751391465676</v>
      </c>
      <c r="AA21" s="100">
        <v>2.1156558533145278</v>
      </c>
      <c r="AB21" s="100">
        <v>1.3404825737265416</v>
      </c>
      <c r="AC21" s="100">
        <v>2.2111663902708676</v>
      </c>
      <c r="AD21" s="100">
        <v>0.0</v>
      </c>
    </row>
    <row r="22">
      <c r="A22" s="102" t="s">
        <v>206</v>
      </c>
      <c r="B22" s="99">
        <v>235.78947368421052</v>
      </c>
      <c r="C22" s="99">
        <v>233.33333333333334</v>
      </c>
      <c r="D22" s="99">
        <v>201.8018018018018</v>
      </c>
      <c r="E22" s="99">
        <v>182.83582089552237</v>
      </c>
      <c r="F22" s="99">
        <v>157.70609318996415</v>
      </c>
      <c r="G22" s="99">
        <v>311.57894736842104</v>
      </c>
      <c r="H22" s="99">
        <v>175.23809523809524</v>
      </c>
      <c r="I22" s="99">
        <v>198.4168865435356</v>
      </c>
      <c r="J22" s="99">
        <v>266.66666666666663</v>
      </c>
      <c r="K22" s="99">
        <v>209.0666666666667</v>
      </c>
      <c r="L22" s="99">
        <v>146.59685863874344</v>
      </c>
      <c r="M22" s="99">
        <v>80.40201005025126</v>
      </c>
      <c r="N22" s="99">
        <v>16.260162601626018</v>
      </c>
      <c r="O22" s="99">
        <v>134.944612286002</v>
      </c>
      <c r="P22" s="99">
        <v>116.95331695331696</v>
      </c>
      <c r="Q22" s="99">
        <v>198.14814814814815</v>
      </c>
      <c r="R22" s="99">
        <v>74.76635514018692</v>
      </c>
      <c r="S22" s="99">
        <v>231.4540059347181</v>
      </c>
      <c r="T22" s="99">
        <v>84.71704506946797</v>
      </c>
      <c r="U22" s="99">
        <v>65.38461538461539</v>
      </c>
      <c r="V22" s="99">
        <v>38.74813710879285</v>
      </c>
      <c r="W22" s="99">
        <v>16.640665626625065</v>
      </c>
      <c r="X22" s="99">
        <v>74.56140350877193</v>
      </c>
      <c r="Y22" s="99">
        <v>52.83018867924528</v>
      </c>
      <c r="Z22" s="99">
        <v>40.816326530612244</v>
      </c>
      <c r="AA22" s="99">
        <v>27.503526093088855</v>
      </c>
      <c r="AB22" s="99">
        <v>4.021447721179625</v>
      </c>
      <c r="AC22" s="99">
        <v>11.055831951354339</v>
      </c>
      <c r="AD22" s="99">
        <v>2.5999350016249596</v>
      </c>
    </row>
    <row r="23">
      <c r="A23" s="82" t="s">
        <v>207</v>
      </c>
      <c r="B23" s="100">
        <v>1242.1052631578946</v>
      </c>
      <c r="C23" s="100">
        <v>976.6666666666666</v>
      </c>
      <c r="D23" s="100">
        <v>1045.045045045045</v>
      </c>
      <c r="E23" s="100">
        <v>940.2985074626865</v>
      </c>
      <c r="F23" s="100">
        <v>612.9032258064516</v>
      </c>
      <c r="G23" s="100">
        <v>703.1578947368421</v>
      </c>
      <c r="H23" s="100">
        <v>575.2380952380952</v>
      </c>
      <c r="I23" s="99">
        <v>1190.5013192612137</v>
      </c>
      <c r="J23" s="99">
        <v>1126.6666666666667</v>
      </c>
      <c r="K23" s="99">
        <v>951.4666666666667</v>
      </c>
      <c r="L23" s="99">
        <v>827.2251308900524</v>
      </c>
      <c r="M23" s="100">
        <v>296.4824120603015</v>
      </c>
      <c r="N23" s="100">
        <v>186.99186991869917</v>
      </c>
      <c r="O23" s="100">
        <v>534.7432024169184</v>
      </c>
      <c r="P23" s="100">
        <v>502.21130221130227</v>
      </c>
      <c r="Q23" s="100">
        <v>575.0</v>
      </c>
      <c r="R23" s="100">
        <v>407.4766355140187</v>
      </c>
      <c r="S23" s="100">
        <v>545.9940652818991</v>
      </c>
      <c r="T23" s="100">
        <v>378.17688919010504</v>
      </c>
      <c r="U23" s="100">
        <v>330.7692307692307</v>
      </c>
      <c r="V23" s="100">
        <v>263.28862394436163</v>
      </c>
      <c r="W23" s="100">
        <v>270.41081643265727</v>
      </c>
      <c r="X23" s="100">
        <v>255.84795321637426</v>
      </c>
      <c r="Y23" s="100">
        <v>222.64150943396226</v>
      </c>
      <c r="Z23" s="100">
        <v>189.23933209647498</v>
      </c>
      <c r="AA23" s="100">
        <v>163.61071932299012</v>
      </c>
      <c r="AB23" s="100">
        <v>111.26005361930297</v>
      </c>
      <c r="AC23" s="100">
        <v>100.23954302561268</v>
      </c>
      <c r="AD23" s="100">
        <v>90.99772505687358</v>
      </c>
    </row>
    <row r="24">
      <c r="A24" s="82" t="s">
        <v>181</v>
      </c>
      <c r="B24" s="17">
        <f t="shared" ref="B24:H24" si="11">B28-B26-B25-B21-B20-B14-B13-B8-B6-B4</f>
        <v>968.4210526</v>
      </c>
      <c r="C24" s="17">
        <f t="shared" si="11"/>
        <v>930</v>
      </c>
      <c r="D24" s="17">
        <f t="shared" si="11"/>
        <v>929.7297297</v>
      </c>
      <c r="E24" s="17">
        <f t="shared" si="11"/>
        <v>958.9552239</v>
      </c>
      <c r="F24" s="17">
        <f t="shared" si="11"/>
        <v>616.4874552</v>
      </c>
      <c r="G24" s="17">
        <f t="shared" si="11"/>
        <v>1402.105263</v>
      </c>
      <c r="H24" s="17">
        <f t="shared" si="11"/>
        <v>601.9047619</v>
      </c>
      <c r="I24" s="99">
        <v>1021.6358839050134</v>
      </c>
      <c r="J24" s="99">
        <v>1336.6666666666667</v>
      </c>
      <c r="K24" s="99">
        <v>866.1333333333332</v>
      </c>
      <c r="L24" s="99">
        <v>872.6003490401397</v>
      </c>
      <c r="M24" s="17">
        <f t="shared" ref="M24:AD24" si="12">M28-M26-M25-M21-M20-M14-M13-M8-M6-M4</f>
        <v>577.8894472</v>
      </c>
      <c r="N24" s="17">
        <f t="shared" si="12"/>
        <v>373.9837398</v>
      </c>
      <c r="O24" s="17">
        <f t="shared" si="12"/>
        <v>740.1812689</v>
      </c>
      <c r="P24" s="17">
        <f t="shared" si="12"/>
        <v>696.8058968</v>
      </c>
      <c r="Q24" s="17">
        <f t="shared" si="12"/>
        <v>920.3703704</v>
      </c>
      <c r="R24" s="17">
        <f t="shared" si="12"/>
        <v>796.2616822</v>
      </c>
      <c r="S24" s="17">
        <f t="shared" si="12"/>
        <v>783.3827893</v>
      </c>
      <c r="T24" s="17">
        <f t="shared" si="12"/>
        <v>743.4767875</v>
      </c>
      <c r="U24" s="17">
        <f t="shared" si="12"/>
        <v>523.0769231</v>
      </c>
      <c r="V24" s="17">
        <f t="shared" si="12"/>
        <v>375.5588674</v>
      </c>
      <c r="W24" s="17">
        <f t="shared" si="12"/>
        <v>407.6963079</v>
      </c>
      <c r="X24" s="17">
        <f t="shared" si="12"/>
        <v>418.128655</v>
      </c>
      <c r="Y24" s="17">
        <f t="shared" si="12"/>
        <v>381.1320755</v>
      </c>
      <c r="Z24" s="17">
        <f t="shared" si="12"/>
        <v>374.7680891</v>
      </c>
      <c r="AA24" s="17">
        <f t="shared" si="12"/>
        <v>375.1763047</v>
      </c>
      <c r="AB24" s="17">
        <f t="shared" si="12"/>
        <v>286.8632708</v>
      </c>
      <c r="AC24" s="17">
        <f t="shared" si="12"/>
        <v>235.8577483</v>
      </c>
      <c r="AD24" s="17">
        <f t="shared" si="12"/>
        <v>231.3942151</v>
      </c>
    </row>
    <row r="25">
      <c r="A25" s="82" t="s">
        <v>208</v>
      </c>
      <c r="B25" s="17"/>
      <c r="C25" s="17">
        <v>3.3333333333333335</v>
      </c>
      <c r="D25" s="17">
        <v>14.414414414414415</v>
      </c>
      <c r="E25" s="17">
        <v>7.462686567164179</v>
      </c>
      <c r="F25" s="17">
        <v>35.842293906810035</v>
      </c>
      <c r="G25" s="17"/>
      <c r="H25" s="17"/>
      <c r="I25" s="99">
        <v>4.221635883905013</v>
      </c>
      <c r="J25" s="99">
        <v>0.0</v>
      </c>
      <c r="K25" s="99">
        <v>8.533333333333335</v>
      </c>
      <c r="L25" s="99">
        <v>3.4904013961605584</v>
      </c>
      <c r="M25" s="17">
        <v>10.050251256281408</v>
      </c>
      <c r="N25" s="17"/>
      <c r="O25" s="17">
        <v>11.07754279959718</v>
      </c>
      <c r="P25" s="17">
        <v>3.9312039312039313</v>
      </c>
      <c r="Q25" s="17">
        <v>4.62962962962963</v>
      </c>
      <c r="R25" s="17"/>
      <c r="S25" s="17">
        <v>11.869436201780417</v>
      </c>
      <c r="T25" s="17">
        <v>2.0332090816672315</v>
      </c>
      <c r="U25" s="17">
        <v>6.41025641025641</v>
      </c>
      <c r="V25" s="17"/>
      <c r="W25" s="17">
        <v>4.160166406656266</v>
      </c>
      <c r="X25" s="17">
        <v>1.461988304093567</v>
      </c>
      <c r="Y25" s="17">
        <v>3.7735849056603774</v>
      </c>
      <c r="Z25" s="17">
        <v>3.7105751391465676</v>
      </c>
      <c r="AA25" s="17">
        <v>3.526093088857546</v>
      </c>
      <c r="AB25" s="17">
        <v>1.3404825737265416</v>
      </c>
      <c r="AC25" s="17"/>
      <c r="AD25" s="17"/>
    </row>
    <row r="26">
      <c r="A26" s="82" t="s">
        <v>209</v>
      </c>
      <c r="B26" s="100">
        <v>63.15789473684211</v>
      </c>
      <c r="C26" s="100">
        <v>93.33333333333334</v>
      </c>
      <c r="D26" s="100">
        <v>86.48648648648648</v>
      </c>
      <c r="E26" s="100">
        <v>37.31343283582089</v>
      </c>
      <c r="F26" s="100">
        <v>46.59498207885305</v>
      </c>
      <c r="G26" s="100">
        <v>0.0</v>
      </c>
      <c r="H26" s="100">
        <v>99.04761904761905</v>
      </c>
      <c r="I26" s="99">
        <v>80.21108179419527</v>
      </c>
      <c r="J26" s="99">
        <v>20.0</v>
      </c>
      <c r="K26" s="99">
        <v>119.46666666666664</v>
      </c>
      <c r="L26" s="99">
        <v>62.827225130890064</v>
      </c>
      <c r="M26" s="100">
        <v>15.07537688442211</v>
      </c>
      <c r="N26" s="100">
        <v>0.0</v>
      </c>
      <c r="O26" s="100">
        <v>17.119838872104733</v>
      </c>
      <c r="P26" s="100">
        <v>35.380835380835386</v>
      </c>
      <c r="Q26" s="100">
        <v>8.333333333333334</v>
      </c>
      <c r="R26" s="100">
        <v>0.0</v>
      </c>
      <c r="S26" s="100">
        <v>0.0</v>
      </c>
      <c r="T26" s="100">
        <v>1.3554727211114876</v>
      </c>
      <c r="U26" s="100">
        <v>11.538461538461538</v>
      </c>
      <c r="V26" s="100">
        <v>12.91604570293095</v>
      </c>
      <c r="W26" s="100">
        <v>4.160166406656266</v>
      </c>
      <c r="X26" s="100">
        <v>19.005847953216374</v>
      </c>
      <c r="Y26" s="100">
        <v>0.0</v>
      </c>
      <c r="Z26" s="100">
        <v>3.7105751391465676</v>
      </c>
      <c r="AA26" s="100">
        <v>0.7052186177715092</v>
      </c>
      <c r="AB26" s="100">
        <v>4.021447721179625</v>
      </c>
      <c r="AC26" s="100">
        <v>0.0</v>
      </c>
      <c r="AD26" s="100">
        <v>0.0</v>
      </c>
    </row>
    <row r="27">
      <c r="A27" s="102" t="s">
        <v>210</v>
      </c>
      <c r="B27" s="99">
        <v>202.10526315789474</v>
      </c>
      <c r="C27" s="99">
        <v>243.33333333333334</v>
      </c>
      <c r="D27" s="99">
        <v>209.00900900900902</v>
      </c>
      <c r="E27" s="99">
        <v>283.5820895522388</v>
      </c>
      <c r="F27" s="99">
        <v>258.06451612903226</v>
      </c>
      <c r="G27" s="99">
        <v>698.9473684210526</v>
      </c>
      <c r="H27" s="99">
        <v>323.80952380952385</v>
      </c>
      <c r="I27" s="99">
        <v>143.53562005277044</v>
      </c>
      <c r="J27" s="99">
        <v>316.6666666666667</v>
      </c>
      <c r="K27" s="99">
        <v>311.46666666666664</v>
      </c>
      <c r="L27" s="99">
        <v>209.4240837696335</v>
      </c>
      <c r="M27" s="99">
        <v>326.63316582914575</v>
      </c>
      <c r="N27" s="99">
        <v>219.5121951219512</v>
      </c>
      <c r="O27" s="99">
        <v>290.03021148036254</v>
      </c>
      <c r="P27" s="99">
        <v>297.7886977886978</v>
      </c>
      <c r="Q27" s="99">
        <v>384.25925925925924</v>
      </c>
      <c r="R27" s="99">
        <v>388.78504672897196</v>
      </c>
      <c r="S27" s="99">
        <v>261.12759643916917</v>
      </c>
      <c r="T27" s="99">
        <v>382.9210437139953</v>
      </c>
      <c r="U27" s="99">
        <v>243.5897435897436</v>
      </c>
      <c r="V27" s="99">
        <v>153.99900645802288</v>
      </c>
      <c r="W27" s="99">
        <v>170.5668226729069</v>
      </c>
      <c r="X27" s="99">
        <v>216.37426900584794</v>
      </c>
      <c r="Y27" s="99">
        <v>192.45283018867926</v>
      </c>
      <c r="Z27" s="99">
        <v>207.79220779220782</v>
      </c>
      <c r="AA27" s="99">
        <v>223.55430183356842</v>
      </c>
      <c r="AB27" s="99">
        <v>184.98659517426276</v>
      </c>
      <c r="AC27" s="99">
        <v>140.7775935139119</v>
      </c>
      <c r="AD27" s="99">
        <v>142.99642508937276</v>
      </c>
    </row>
    <row r="28">
      <c r="A28" s="82" t="s">
        <v>211</v>
      </c>
      <c r="B28" s="100">
        <v>1444.2105263157894</v>
      </c>
      <c r="C28" s="100">
        <v>1220.0</v>
      </c>
      <c r="D28" s="100">
        <v>1254.0540540540542</v>
      </c>
      <c r="E28" s="100">
        <v>1223.8805970149253</v>
      </c>
      <c r="F28" s="100">
        <v>870.9677419354839</v>
      </c>
      <c r="G28" s="100">
        <v>1402.1052631578946</v>
      </c>
      <c r="H28" s="100">
        <v>899.047619047619</v>
      </c>
      <c r="I28" s="99">
        <v>1334.0369393139842</v>
      </c>
      <c r="J28" s="99">
        <v>1443.3333333333333</v>
      </c>
      <c r="K28" s="99">
        <v>1262.9333333333332</v>
      </c>
      <c r="L28" s="99">
        <v>1036.6492146596859</v>
      </c>
      <c r="M28" s="100">
        <v>623.1155778894472</v>
      </c>
      <c r="N28" s="100">
        <v>406.5040650406504</v>
      </c>
      <c r="O28" s="100">
        <v>824.773413897281</v>
      </c>
      <c r="P28" s="100">
        <v>800.0</v>
      </c>
      <c r="Q28" s="100">
        <v>959.2592592592592</v>
      </c>
      <c r="R28" s="100">
        <v>796.2616822429907</v>
      </c>
      <c r="S28" s="100">
        <v>807.1216617210682</v>
      </c>
      <c r="T28" s="100">
        <v>761.0979329041004</v>
      </c>
      <c r="U28" s="100">
        <v>574.3589743589744</v>
      </c>
      <c r="V28" s="100">
        <v>417.2876304023845</v>
      </c>
      <c r="W28" s="100">
        <v>440.9776391055642</v>
      </c>
      <c r="X28" s="100">
        <v>472.2222222222222</v>
      </c>
      <c r="Y28" s="100">
        <v>415.09433962264154</v>
      </c>
      <c r="Z28" s="100">
        <v>397.0315398886828</v>
      </c>
      <c r="AA28" s="100">
        <v>387.1650211565585</v>
      </c>
      <c r="AB28" s="100">
        <v>296.2466487935657</v>
      </c>
      <c r="AC28" s="100">
        <v>241.01713653952459</v>
      </c>
      <c r="AD28" s="100">
        <v>233.99415014624634</v>
      </c>
    </row>
    <row r="29">
      <c r="A29" s="94"/>
      <c r="B29" s="95" t="s">
        <v>0</v>
      </c>
      <c r="C29" s="96" t="s">
        <v>1</v>
      </c>
      <c r="D29" s="96" t="s">
        <v>2</v>
      </c>
      <c r="E29" s="96" t="s">
        <v>3</v>
      </c>
      <c r="F29" s="96" t="s">
        <v>4</v>
      </c>
      <c r="G29" s="96" t="s">
        <v>5</v>
      </c>
      <c r="H29" s="96" t="s">
        <v>185</v>
      </c>
      <c r="I29" s="96" t="s">
        <v>7</v>
      </c>
      <c r="J29" s="96" t="s">
        <v>8</v>
      </c>
      <c r="K29" s="95" t="s">
        <v>9</v>
      </c>
      <c r="L29" s="96" t="s">
        <v>10</v>
      </c>
      <c r="M29" s="96" t="s">
        <v>11</v>
      </c>
      <c r="N29" s="96" t="s">
        <v>12</v>
      </c>
      <c r="O29" s="97" t="s">
        <v>13</v>
      </c>
      <c r="P29" s="97" t="s">
        <v>14</v>
      </c>
      <c r="Q29" s="96" t="s">
        <v>15</v>
      </c>
      <c r="R29" s="97" t="s">
        <v>16</v>
      </c>
      <c r="S29" s="96" t="s">
        <v>17</v>
      </c>
      <c r="T29" s="96" t="s">
        <v>18</v>
      </c>
      <c r="U29" s="97" t="s">
        <v>19</v>
      </c>
      <c r="V29" s="97" t="s">
        <v>20</v>
      </c>
      <c r="W29" s="98" t="s">
        <v>21</v>
      </c>
      <c r="X29" s="97" t="s">
        <v>22</v>
      </c>
      <c r="Y29" s="97" t="s">
        <v>23</v>
      </c>
      <c r="Z29" s="96" t="s">
        <v>24</v>
      </c>
      <c r="AA29" s="98" t="s">
        <v>25</v>
      </c>
      <c r="AB29" s="98" t="s">
        <v>26</v>
      </c>
      <c r="AC29" s="98" t="s">
        <v>27</v>
      </c>
      <c r="AD29" s="95" t="s">
        <v>28</v>
      </c>
      <c r="AE29" s="97"/>
      <c r="AF29" s="17"/>
      <c r="AG29" s="17"/>
      <c r="AH29" s="17"/>
    </row>
    <row r="30">
      <c r="A30" s="94" t="s">
        <v>174</v>
      </c>
      <c r="B30" s="99">
        <f t="shared" ref="B30:AD30" si="13">B2/2</f>
        <v>46.31578947</v>
      </c>
      <c r="C30" s="99">
        <f t="shared" si="13"/>
        <v>83.33333333</v>
      </c>
      <c r="D30" s="99">
        <f t="shared" si="13"/>
        <v>68.46846847</v>
      </c>
      <c r="E30" s="99">
        <f t="shared" si="13"/>
        <v>72.76119403</v>
      </c>
      <c r="F30" s="99">
        <f t="shared" si="13"/>
        <v>30.46594982</v>
      </c>
      <c r="G30" s="99">
        <f t="shared" si="13"/>
        <v>16.84210526</v>
      </c>
      <c r="H30" s="99">
        <f t="shared" si="13"/>
        <v>22.85714286</v>
      </c>
      <c r="I30" s="99">
        <f t="shared" si="13"/>
        <v>154.0897098</v>
      </c>
      <c r="J30" s="99">
        <f t="shared" si="13"/>
        <v>105</v>
      </c>
      <c r="K30" s="99">
        <f t="shared" si="13"/>
        <v>38.4</v>
      </c>
      <c r="L30" s="99">
        <f t="shared" si="13"/>
        <v>73.29842932</v>
      </c>
      <c r="M30" s="99">
        <f t="shared" si="13"/>
        <v>12.56281407</v>
      </c>
      <c r="N30" s="99">
        <f t="shared" si="13"/>
        <v>4.06504065</v>
      </c>
      <c r="O30" s="99">
        <f t="shared" si="13"/>
        <v>41.28902316</v>
      </c>
      <c r="P30" s="99">
        <f t="shared" si="13"/>
        <v>28.00982801</v>
      </c>
      <c r="Q30" s="99">
        <f t="shared" si="13"/>
        <v>24.07407407</v>
      </c>
      <c r="R30" s="99">
        <f t="shared" si="13"/>
        <v>14.95327103</v>
      </c>
      <c r="S30" s="99">
        <f t="shared" si="13"/>
        <v>23.7388724</v>
      </c>
      <c r="T30" s="99">
        <f t="shared" si="13"/>
        <v>11.86038631</v>
      </c>
      <c r="U30" s="99">
        <f t="shared" si="13"/>
        <v>19.23076923</v>
      </c>
      <c r="V30" s="99">
        <f t="shared" si="13"/>
        <v>19.87083954</v>
      </c>
      <c r="W30" s="99">
        <f t="shared" si="13"/>
        <v>6.24024961</v>
      </c>
      <c r="X30" s="99">
        <f t="shared" si="13"/>
        <v>8.771929825</v>
      </c>
      <c r="Y30" s="99">
        <f t="shared" si="13"/>
        <v>5.660377358</v>
      </c>
      <c r="Z30" s="99">
        <f t="shared" si="13"/>
        <v>3.710575139</v>
      </c>
      <c r="AA30" s="99">
        <f t="shared" si="13"/>
        <v>5.994358251</v>
      </c>
      <c r="AB30" s="99">
        <f t="shared" si="13"/>
        <v>2.680965147</v>
      </c>
      <c r="AC30" s="99">
        <f t="shared" si="13"/>
        <v>1.105583195</v>
      </c>
      <c r="AD30" s="99">
        <f t="shared" si="13"/>
        <v>2.599935002</v>
      </c>
      <c r="AE30" s="97"/>
      <c r="AF30" s="17"/>
      <c r="AG30" s="17"/>
      <c r="AH30" s="17"/>
    </row>
    <row r="31">
      <c r="A31" s="82" t="s">
        <v>45</v>
      </c>
      <c r="B31" s="99">
        <f t="shared" ref="B31:AD31" si="14">B3/2</f>
        <v>21.05263158</v>
      </c>
      <c r="C31" s="99">
        <f t="shared" si="14"/>
        <v>43.33333333</v>
      </c>
      <c r="D31" s="99">
        <f t="shared" si="14"/>
        <v>39.63963964</v>
      </c>
      <c r="E31" s="99">
        <f t="shared" si="14"/>
        <v>29.85074627</v>
      </c>
      <c r="F31" s="99">
        <f t="shared" si="14"/>
        <v>7.168458781</v>
      </c>
      <c r="G31" s="99">
        <f t="shared" si="14"/>
        <v>8.421052632</v>
      </c>
      <c r="H31" s="99">
        <f t="shared" si="14"/>
        <v>11.42857143</v>
      </c>
      <c r="I31" s="99">
        <f t="shared" si="14"/>
        <v>94.98680739</v>
      </c>
      <c r="J31" s="99">
        <f t="shared" si="14"/>
        <v>48.33333333</v>
      </c>
      <c r="K31" s="99">
        <f t="shared" si="14"/>
        <v>12.8</v>
      </c>
      <c r="L31" s="99">
        <f t="shared" si="14"/>
        <v>40.13961606</v>
      </c>
      <c r="M31" s="99">
        <f t="shared" si="14"/>
        <v>10.05025126</v>
      </c>
      <c r="N31" s="99">
        <f t="shared" si="14"/>
        <v>4.06504065</v>
      </c>
      <c r="O31" s="99">
        <f t="shared" si="14"/>
        <v>28.19738167</v>
      </c>
      <c r="P31" s="99">
        <f t="shared" si="14"/>
        <v>13.75921376</v>
      </c>
      <c r="Q31" s="99">
        <f t="shared" si="14"/>
        <v>10.18518519</v>
      </c>
      <c r="R31" s="99">
        <f t="shared" si="14"/>
        <v>5.607476636</v>
      </c>
      <c r="S31" s="99">
        <f t="shared" si="14"/>
        <v>8.902077151</v>
      </c>
      <c r="T31" s="99">
        <f t="shared" si="14"/>
        <v>3.049813623</v>
      </c>
      <c r="U31" s="99">
        <f t="shared" si="14"/>
        <v>8.333333333</v>
      </c>
      <c r="V31" s="99">
        <f t="shared" si="14"/>
        <v>12.41927471</v>
      </c>
      <c r="W31" s="99">
        <f t="shared" si="14"/>
        <v>4.160166407</v>
      </c>
      <c r="X31" s="99">
        <f t="shared" si="14"/>
        <v>3.65497076</v>
      </c>
      <c r="Y31" s="99">
        <f t="shared" si="14"/>
        <v>5.660377358</v>
      </c>
      <c r="Z31" s="99">
        <f t="shared" si="14"/>
        <v>0</v>
      </c>
      <c r="AA31" s="99">
        <f t="shared" si="14"/>
        <v>3.17348378</v>
      </c>
      <c r="AB31" s="99">
        <f t="shared" si="14"/>
        <v>2.010723861</v>
      </c>
      <c r="AC31" s="99">
        <f t="shared" si="14"/>
        <v>0.3685277317</v>
      </c>
      <c r="AD31" s="99">
        <f t="shared" si="14"/>
        <v>2.599935002</v>
      </c>
      <c r="AE31" s="97"/>
      <c r="AF31" s="17"/>
      <c r="AG31" s="17"/>
      <c r="AH31" s="17"/>
    </row>
    <row r="32">
      <c r="A32" s="82" t="s">
        <v>48</v>
      </c>
      <c r="B32" s="99">
        <f t="shared" ref="B32:AD32" si="15">B4/2</f>
        <v>0</v>
      </c>
      <c r="C32" s="99">
        <f t="shared" si="15"/>
        <v>0</v>
      </c>
      <c r="D32" s="99">
        <f t="shared" si="15"/>
        <v>0</v>
      </c>
      <c r="E32" s="99">
        <f t="shared" si="15"/>
        <v>0</v>
      </c>
      <c r="F32" s="99">
        <f t="shared" si="15"/>
        <v>0</v>
      </c>
      <c r="G32" s="99">
        <f t="shared" si="15"/>
        <v>0</v>
      </c>
      <c r="H32" s="99">
        <f t="shared" si="15"/>
        <v>0</v>
      </c>
      <c r="I32" s="99">
        <f t="shared" si="15"/>
        <v>0</v>
      </c>
      <c r="J32" s="99">
        <f t="shared" si="15"/>
        <v>0</v>
      </c>
      <c r="K32" s="99">
        <f t="shared" si="15"/>
        <v>0</v>
      </c>
      <c r="L32" s="99">
        <f t="shared" si="15"/>
        <v>0</v>
      </c>
      <c r="M32" s="99">
        <f t="shared" si="15"/>
        <v>0</v>
      </c>
      <c r="N32" s="99">
        <f t="shared" si="15"/>
        <v>4.06504065</v>
      </c>
      <c r="O32" s="99">
        <f t="shared" si="15"/>
        <v>0.5035246727</v>
      </c>
      <c r="P32" s="99">
        <f t="shared" si="15"/>
        <v>0.9828009828</v>
      </c>
      <c r="Q32" s="99">
        <f t="shared" si="15"/>
        <v>0.462962963</v>
      </c>
      <c r="R32" s="99">
        <f t="shared" si="15"/>
        <v>0</v>
      </c>
      <c r="S32" s="99">
        <f t="shared" si="15"/>
        <v>0</v>
      </c>
      <c r="T32" s="99">
        <f t="shared" si="15"/>
        <v>0.3388681803</v>
      </c>
      <c r="U32" s="99">
        <f t="shared" si="15"/>
        <v>0</v>
      </c>
      <c r="V32" s="99">
        <f t="shared" si="15"/>
        <v>0</v>
      </c>
      <c r="W32" s="99">
        <f t="shared" si="15"/>
        <v>0</v>
      </c>
      <c r="X32" s="99">
        <f t="shared" si="15"/>
        <v>0</v>
      </c>
      <c r="Y32" s="99">
        <f t="shared" si="15"/>
        <v>0</v>
      </c>
      <c r="Z32" s="99">
        <f t="shared" si="15"/>
        <v>0</v>
      </c>
      <c r="AA32" s="99">
        <f t="shared" si="15"/>
        <v>0</v>
      </c>
      <c r="AB32" s="99">
        <f t="shared" si="15"/>
        <v>0</v>
      </c>
      <c r="AC32" s="99">
        <f t="shared" si="15"/>
        <v>0.3685277317</v>
      </c>
      <c r="AD32" s="99">
        <f t="shared" si="15"/>
        <v>0</v>
      </c>
      <c r="AE32" s="97"/>
      <c r="AF32" s="17"/>
      <c r="AG32" s="17"/>
      <c r="AH32" s="17"/>
    </row>
    <row r="33">
      <c r="A33" s="101" t="s">
        <v>175</v>
      </c>
      <c r="B33" s="99">
        <f t="shared" ref="B33:AD33" si="16">B5/2</f>
        <v>46.31578947</v>
      </c>
      <c r="C33" s="99">
        <f t="shared" si="16"/>
        <v>83.33333333</v>
      </c>
      <c r="D33" s="99">
        <f t="shared" si="16"/>
        <v>68.46846847</v>
      </c>
      <c r="E33" s="99">
        <f t="shared" si="16"/>
        <v>72.76119403</v>
      </c>
      <c r="F33" s="99">
        <f t="shared" si="16"/>
        <v>30.46594982</v>
      </c>
      <c r="G33" s="99">
        <f t="shared" si="16"/>
        <v>16.84210526</v>
      </c>
      <c r="H33" s="99">
        <f t="shared" si="16"/>
        <v>22.85714286</v>
      </c>
      <c r="I33" s="99">
        <f t="shared" si="16"/>
        <v>154.0897098</v>
      </c>
      <c r="J33" s="99">
        <f t="shared" si="16"/>
        <v>105</v>
      </c>
      <c r="K33" s="99">
        <f t="shared" si="16"/>
        <v>38.4</v>
      </c>
      <c r="L33" s="99">
        <f t="shared" si="16"/>
        <v>73.29842932</v>
      </c>
      <c r="M33" s="99">
        <f t="shared" si="16"/>
        <v>12.56281407</v>
      </c>
      <c r="N33" s="99">
        <f t="shared" si="16"/>
        <v>8.130081301</v>
      </c>
      <c r="O33" s="99">
        <f t="shared" si="16"/>
        <v>41.79254783</v>
      </c>
      <c r="P33" s="99">
        <f t="shared" si="16"/>
        <v>28.99262899</v>
      </c>
      <c r="Q33" s="99">
        <f t="shared" si="16"/>
        <v>24.53703704</v>
      </c>
      <c r="R33" s="99">
        <f t="shared" si="16"/>
        <v>14.95327103</v>
      </c>
      <c r="S33" s="99">
        <f t="shared" si="16"/>
        <v>23.7388724</v>
      </c>
      <c r="T33" s="99">
        <f t="shared" si="16"/>
        <v>12.19925449</v>
      </c>
      <c r="U33" s="99">
        <f t="shared" si="16"/>
        <v>19.23076923</v>
      </c>
      <c r="V33" s="99">
        <f t="shared" si="16"/>
        <v>19.87083954</v>
      </c>
      <c r="W33" s="99">
        <f t="shared" si="16"/>
        <v>6.24024961</v>
      </c>
      <c r="X33" s="99">
        <f t="shared" si="16"/>
        <v>8.771929825</v>
      </c>
      <c r="Y33" s="99">
        <f t="shared" si="16"/>
        <v>5.660377358</v>
      </c>
      <c r="Z33" s="99">
        <f t="shared" si="16"/>
        <v>3.710575139</v>
      </c>
      <c r="AA33" s="99">
        <f t="shared" si="16"/>
        <v>5.994358251</v>
      </c>
      <c r="AB33" s="99">
        <f t="shared" si="16"/>
        <v>2.680965147</v>
      </c>
      <c r="AC33" s="99">
        <f t="shared" si="16"/>
        <v>1.474110927</v>
      </c>
      <c r="AD33" s="99">
        <f t="shared" si="16"/>
        <v>2.599935002</v>
      </c>
      <c r="AE33" s="97"/>
      <c r="AF33" s="17"/>
      <c r="AG33" s="17"/>
      <c r="AH33" s="17"/>
    </row>
    <row r="34">
      <c r="A34" s="82" t="s">
        <v>195</v>
      </c>
      <c r="B34" s="99">
        <f t="shared" ref="B34:AD34" si="17">B6/2</f>
        <v>0</v>
      </c>
      <c r="C34" s="99">
        <f t="shared" si="17"/>
        <v>0</v>
      </c>
      <c r="D34" s="99">
        <f t="shared" si="17"/>
        <v>0</v>
      </c>
      <c r="E34" s="99">
        <f t="shared" si="17"/>
        <v>0</v>
      </c>
      <c r="F34" s="99">
        <f t="shared" si="17"/>
        <v>1.792114695</v>
      </c>
      <c r="G34" s="99">
        <f t="shared" si="17"/>
        <v>0</v>
      </c>
      <c r="H34" s="99">
        <f t="shared" si="17"/>
        <v>0</v>
      </c>
      <c r="I34" s="99">
        <f t="shared" si="17"/>
        <v>2.110817942</v>
      </c>
      <c r="J34" s="99">
        <f t="shared" si="17"/>
        <v>0</v>
      </c>
      <c r="K34" s="99">
        <f t="shared" si="17"/>
        <v>0</v>
      </c>
      <c r="L34" s="99">
        <f t="shared" si="17"/>
        <v>1.745200698</v>
      </c>
      <c r="M34" s="99">
        <f t="shared" si="17"/>
        <v>0</v>
      </c>
      <c r="N34" s="99">
        <f t="shared" si="17"/>
        <v>0</v>
      </c>
      <c r="O34" s="99">
        <f t="shared" si="17"/>
        <v>1.007049345</v>
      </c>
      <c r="P34" s="99">
        <f t="shared" si="17"/>
        <v>0</v>
      </c>
      <c r="Q34" s="99">
        <f t="shared" si="17"/>
        <v>0</v>
      </c>
      <c r="R34" s="99">
        <f t="shared" si="17"/>
        <v>0</v>
      </c>
      <c r="S34" s="99">
        <f t="shared" si="17"/>
        <v>0</v>
      </c>
      <c r="T34" s="99">
        <f t="shared" si="17"/>
        <v>0</v>
      </c>
      <c r="U34" s="99">
        <f t="shared" si="17"/>
        <v>0.641025641</v>
      </c>
      <c r="V34" s="99">
        <f t="shared" si="17"/>
        <v>0</v>
      </c>
      <c r="W34" s="99">
        <f t="shared" si="17"/>
        <v>0</v>
      </c>
      <c r="X34" s="99">
        <f t="shared" si="17"/>
        <v>0</v>
      </c>
      <c r="Y34" s="99">
        <f t="shared" si="17"/>
        <v>0</v>
      </c>
      <c r="Z34" s="99">
        <f t="shared" si="17"/>
        <v>1.85528757</v>
      </c>
      <c r="AA34" s="99">
        <f t="shared" si="17"/>
        <v>0</v>
      </c>
      <c r="AB34" s="99">
        <f t="shared" si="17"/>
        <v>0</v>
      </c>
      <c r="AC34" s="99">
        <f t="shared" si="17"/>
        <v>0</v>
      </c>
      <c r="AD34" s="99">
        <f t="shared" si="17"/>
        <v>0</v>
      </c>
      <c r="AE34" s="97"/>
      <c r="AF34" s="17"/>
      <c r="AG34" s="17"/>
      <c r="AH34" s="17"/>
    </row>
    <row r="35">
      <c r="A35" s="102" t="s">
        <v>180</v>
      </c>
      <c r="B35" s="99">
        <f t="shared" ref="B35:AD35" si="18">B7/2</f>
        <v>107.3684211</v>
      </c>
      <c r="C35" s="99">
        <f t="shared" si="18"/>
        <v>110</v>
      </c>
      <c r="D35" s="99">
        <f t="shared" si="18"/>
        <v>104.5045045</v>
      </c>
      <c r="E35" s="99">
        <f t="shared" si="18"/>
        <v>110.0746269</v>
      </c>
      <c r="F35" s="99">
        <f t="shared" si="18"/>
        <v>46.59498208</v>
      </c>
      <c r="G35" s="99">
        <f t="shared" si="18"/>
        <v>44.21052632</v>
      </c>
      <c r="H35" s="99">
        <f t="shared" si="18"/>
        <v>45.71428571</v>
      </c>
      <c r="I35" s="99">
        <f t="shared" si="18"/>
        <v>113.9841689</v>
      </c>
      <c r="J35" s="99">
        <f t="shared" si="18"/>
        <v>101.6666667</v>
      </c>
      <c r="K35" s="99">
        <f t="shared" si="18"/>
        <v>83.2</v>
      </c>
      <c r="L35" s="99">
        <f t="shared" si="18"/>
        <v>92.495637</v>
      </c>
      <c r="M35" s="99">
        <f t="shared" si="18"/>
        <v>15.07537688</v>
      </c>
      <c r="N35" s="99">
        <f t="shared" si="18"/>
        <v>4.06504065</v>
      </c>
      <c r="O35" s="99">
        <f t="shared" si="18"/>
        <v>32.72910373</v>
      </c>
      <c r="P35" s="99">
        <f t="shared" si="18"/>
        <v>0</v>
      </c>
      <c r="Q35" s="99">
        <f t="shared" si="18"/>
        <v>28.24074074</v>
      </c>
      <c r="R35" s="99">
        <f t="shared" si="18"/>
        <v>20.56074766</v>
      </c>
      <c r="S35" s="99">
        <f t="shared" si="18"/>
        <v>47.47774481</v>
      </c>
      <c r="T35" s="99">
        <f t="shared" si="18"/>
        <v>16.60454083</v>
      </c>
      <c r="U35" s="99">
        <f t="shared" si="18"/>
        <v>21.79487179</v>
      </c>
      <c r="V35" s="99">
        <f t="shared" si="18"/>
        <v>18.87729757</v>
      </c>
      <c r="W35" s="99">
        <f t="shared" si="18"/>
        <v>12.48049922</v>
      </c>
      <c r="X35" s="99">
        <f t="shared" si="18"/>
        <v>8.771929825</v>
      </c>
      <c r="Y35" s="99">
        <f t="shared" si="18"/>
        <v>5.660377358</v>
      </c>
      <c r="Z35" s="99">
        <f t="shared" si="18"/>
        <v>3.710575139</v>
      </c>
      <c r="AA35" s="99">
        <f t="shared" si="18"/>
        <v>4.583921016</v>
      </c>
      <c r="AB35" s="99">
        <f t="shared" si="18"/>
        <v>5.361930295</v>
      </c>
      <c r="AC35" s="99">
        <f t="shared" si="18"/>
        <v>5.896443707</v>
      </c>
      <c r="AD35" s="99">
        <f t="shared" si="18"/>
        <v>0</v>
      </c>
      <c r="AE35" s="97"/>
      <c r="AF35" s="17"/>
      <c r="AG35" s="17"/>
      <c r="AH35" s="17"/>
    </row>
    <row r="36">
      <c r="A36" s="103" t="s">
        <v>196</v>
      </c>
      <c r="B36" s="99">
        <f t="shared" ref="B36:AD36" si="19">B8/2</f>
        <v>8.421052632</v>
      </c>
      <c r="C36" s="99">
        <f t="shared" si="19"/>
        <v>8.333333333</v>
      </c>
      <c r="D36" s="99">
        <f t="shared" si="19"/>
        <v>7.207207207</v>
      </c>
      <c r="E36" s="99">
        <f t="shared" si="19"/>
        <v>16.79104478</v>
      </c>
      <c r="F36" s="99">
        <f t="shared" si="19"/>
        <v>1.792114695</v>
      </c>
      <c r="G36" s="99">
        <f t="shared" si="19"/>
        <v>0</v>
      </c>
      <c r="H36" s="99">
        <f t="shared" si="19"/>
        <v>9.523809524</v>
      </c>
      <c r="I36" s="99">
        <f t="shared" si="19"/>
        <v>6.332453826</v>
      </c>
      <c r="J36" s="99">
        <f t="shared" si="19"/>
        <v>3.333333333</v>
      </c>
      <c r="K36" s="99">
        <f t="shared" si="19"/>
        <v>10.66666667</v>
      </c>
      <c r="L36" s="99">
        <f t="shared" si="19"/>
        <v>15.70680628</v>
      </c>
      <c r="M36" s="99">
        <f t="shared" si="19"/>
        <v>0</v>
      </c>
      <c r="N36" s="99">
        <f t="shared" si="19"/>
        <v>0</v>
      </c>
      <c r="O36" s="99">
        <f t="shared" si="19"/>
        <v>1.007049345</v>
      </c>
      <c r="P36" s="99">
        <f t="shared" si="19"/>
        <v>2.457002457</v>
      </c>
      <c r="Q36" s="99">
        <f t="shared" si="19"/>
        <v>3.240740741</v>
      </c>
      <c r="R36" s="99">
        <f t="shared" si="19"/>
        <v>0</v>
      </c>
      <c r="S36" s="99">
        <f t="shared" si="19"/>
        <v>0</v>
      </c>
      <c r="T36" s="99">
        <f t="shared" si="19"/>
        <v>0</v>
      </c>
      <c r="U36" s="99">
        <f t="shared" si="19"/>
        <v>1.282051282</v>
      </c>
      <c r="V36" s="99">
        <f t="shared" si="19"/>
        <v>0.9935419771</v>
      </c>
      <c r="W36" s="99">
        <f t="shared" si="19"/>
        <v>4.160166407</v>
      </c>
      <c r="X36" s="99">
        <f t="shared" si="19"/>
        <v>0.730994152</v>
      </c>
      <c r="Y36" s="99">
        <f t="shared" si="19"/>
        <v>0</v>
      </c>
      <c r="Z36" s="99">
        <f t="shared" si="19"/>
        <v>1.85528757</v>
      </c>
      <c r="AA36" s="99">
        <f t="shared" si="19"/>
        <v>1.057827927</v>
      </c>
      <c r="AB36" s="99">
        <f t="shared" si="19"/>
        <v>0</v>
      </c>
      <c r="AC36" s="99">
        <f t="shared" si="19"/>
        <v>0</v>
      </c>
      <c r="AD36" s="99">
        <f t="shared" si="19"/>
        <v>0</v>
      </c>
      <c r="AE36" s="97"/>
      <c r="AF36" s="17"/>
      <c r="AG36" s="17"/>
      <c r="AH36" s="17"/>
    </row>
    <row r="37">
      <c r="A37" s="104">
        <v>45455.0</v>
      </c>
      <c r="B37" s="99">
        <f t="shared" ref="B37:AD37" si="20">B9/2</f>
        <v>128.4210526</v>
      </c>
      <c r="C37" s="99">
        <f t="shared" si="20"/>
        <v>125</v>
      </c>
      <c r="D37" s="99">
        <f t="shared" si="20"/>
        <v>118.9189189</v>
      </c>
      <c r="E37" s="99">
        <f t="shared" si="20"/>
        <v>72.76119403</v>
      </c>
      <c r="F37" s="99">
        <f t="shared" si="20"/>
        <v>53.76344086</v>
      </c>
      <c r="G37" s="99">
        <f t="shared" si="20"/>
        <v>29.47368421</v>
      </c>
      <c r="H37" s="99">
        <f t="shared" si="20"/>
        <v>49.52380952</v>
      </c>
      <c r="I37" s="99">
        <f t="shared" si="20"/>
        <v>143.5356201</v>
      </c>
      <c r="J37" s="99">
        <f t="shared" si="20"/>
        <v>91.66666667</v>
      </c>
      <c r="K37" s="99">
        <f t="shared" si="20"/>
        <v>89.6</v>
      </c>
      <c r="L37" s="99">
        <f t="shared" si="20"/>
        <v>102.9668412</v>
      </c>
      <c r="M37" s="99">
        <f t="shared" si="20"/>
        <v>10.05025126</v>
      </c>
      <c r="N37" s="99">
        <f t="shared" si="20"/>
        <v>0</v>
      </c>
      <c r="O37" s="99">
        <f t="shared" si="20"/>
        <v>33.2326284</v>
      </c>
      <c r="P37" s="99">
        <f t="shared" si="20"/>
        <v>36.85503686</v>
      </c>
      <c r="Q37" s="99">
        <f t="shared" si="20"/>
        <v>25.92592593</v>
      </c>
      <c r="R37" s="99">
        <f t="shared" si="20"/>
        <v>14.95327103</v>
      </c>
      <c r="S37" s="99">
        <f t="shared" si="20"/>
        <v>14.83679525</v>
      </c>
      <c r="T37" s="99">
        <f t="shared" si="20"/>
        <v>19.31548628</v>
      </c>
      <c r="U37" s="99">
        <f t="shared" si="20"/>
        <v>19.23076923</v>
      </c>
      <c r="V37" s="99">
        <f t="shared" si="20"/>
        <v>14.90312966</v>
      </c>
      <c r="W37" s="99">
        <f t="shared" si="20"/>
        <v>14.56058242</v>
      </c>
      <c r="X37" s="99">
        <f t="shared" si="20"/>
        <v>8.771929825</v>
      </c>
      <c r="Y37" s="99">
        <f t="shared" si="20"/>
        <v>7.547169811</v>
      </c>
      <c r="Z37" s="99">
        <f t="shared" si="20"/>
        <v>3.710575139</v>
      </c>
      <c r="AA37" s="99">
        <f t="shared" si="20"/>
        <v>5.289139633</v>
      </c>
      <c r="AB37" s="99">
        <f t="shared" si="20"/>
        <v>4.691689008</v>
      </c>
      <c r="AC37" s="99">
        <f t="shared" si="20"/>
        <v>3.685277317</v>
      </c>
      <c r="AD37" s="99">
        <f t="shared" si="20"/>
        <v>0</v>
      </c>
      <c r="AE37" s="97"/>
      <c r="AF37" s="17"/>
      <c r="AG37" s="17"/>
      <c r="AH37" s="17"/>
    </row>
    <row r="38">
      <c r="A38" s="82" t="s">
        <v>176</v>
      </c>
      <c r="B38" s="99">
        <f t="shared" ref="B38:AD38" si="21">B10/2</f>
        <v>166.3157895</v>
      </c>
      <c r="C38" s="99">
        <f t="shared" si="21"/>
        <v>200</v>
      </c>
      <c r="D38" s="99">
        <f t="shared" si="21"/>
        <v>180.1801802</v>
      </c>
      <c r="E38" s="99">
        <f t="shared" si="21"/>
        <v>128.7313433</v>
      </c>
      <c r="F38" s="99">
        <f t="shared" si="21"/>
        <v>80.64516129</v>
      </c>
      <c r="G38" s="99">
        <f t="shared" si="21"/>
        <v>46.31578947</v>
      </c>
      <c r="H38" s="99">
        <f t="shared" si="21"/>
        <v>62.85714286</v>
      </c>
      <c r="I38" s="99">
        <f t="shared" si="21"/>
        <v>289.182058</v>
      </c>
      <c r="J38" s="99">
        <f t="shared" si="21"/>
        <v>193.3333333</v>
      </c>
      <c r="K38" s="99">
        <f t="shared" si="21"/>
        <v>117.3333333</v>
      </c>
      <c r="L38" s="99">
        <f t="shared" si="21"/>
        <v>158.8132635</v>
      </c>
      <c r="M38" s="99">
        <f t="shared" si="21"/>
        <v>22.61306533</v>
      </c>
      <c r="N38" s="99">
        <f t="shared" si="21"/>
        <v>8.130081301</v>
      </c>
      <c r="O38" s="99">
        <f t="shared" si="21"/>
        <v>73.01107754</v>
      </c>
      <c r="P38" s="99">
        <f t="shared" si="21"/>
        <v>63.39066339</v>
      </c>
      <c r="Q38" s="99">
        <f t="shared" si="21"/>
        <v>47.22222222</v>
      </c>
      <c r="R38" s="99">
        <f t="shared" si="21"/>
        <v>29.90654206</v>
      </c>
      <c r="S38" s="99">
        <f t="shared" si="21"/>
        <v>38.57566766</v>
      </c>
      <c r="T38" s="99">
        <f t="shared" si="21"/>
        <v>31.51474077</v>
      </c>
      <c r="U38" s="99">
        <f t="shared" si="21"/>
        <v>36.53846154</v>
      </c>
      <c r="V38" s="99">
        <f t="shared" si="21"/>
        <v>33.78042722</v>
      </c>
      <c r="W38" s="99">
        <f t="shared" si="21"/>
        <v>16.64066563</v>
      </c>
      <c r="X38" s="99">
        <f t="shared" si="21"/>
        <v>16.8128655</v>
      </c>
      <c r="Y38" s="99">
        <f t="shared" si="21"/>
        <v>13.20754717</v>
      </c>
      <c r="Z38" s="99">
        <f t="shared" si="21"/>
        <v>3.710575139</v>
      </c>
      <c r="AA38" s="99">
        <f t="shared" si="21"/>
        <v>10.22566996</v>
      </c>
      <c r="AB38" s="99">
        <f t="shared" si="21"/>
        <v>7.372654155</v>
      </c>
      <c r="AC38" s="99">
        <f t="shared" si="21"/>
        <v>5.159388244</v>
      </c>
      <c r="AD38" s="99">
        <f t="shared" si="21"/>
        <v>2.599935002</v>
      </c>
      <c r="AE38" s="97"/>
      <c r="AF38" s="17"/>
      <c r="AG38" s="17"/>
      <c r="AH38" s="17"/>
    </row>
    <row r="39">
      <c r="A39" s="82" t="s">
        <v>197</v>
      </c>
      <c r="B39" s="99">
        <f t="shared" ref="B39:AD39" si="22">B11/2</f>
        <v>166.3157895</v>
      </c>
      <c r="C39" s="99">
        <f t="shared" si="22"/>
        <v>200</v>
      </c>
      <c r="D39" s="99">
        <f t="shared" si="22"/>
        <v>180.1801802</v>
      </c>
      <c r="E39" s="99">
        <f t="shared" si="22"/>
        <v>128.7313433</v>
      </c>
      <c r="F39" s="99">
        <f t="shared" si="22"/>
        <v>82.43727599</v>
      </c>
      <c r="G39" s="99">
        <f t="shared" si="22"/>
        <v>46.31578947</v>
      </c>
      <c r="H39" s="99">
        <f t="shared" si="22"/>
        <v>62.85714286</v>
      </c>
      <c r="I39" s="99">
        <f t="shared" si="22"/>
        <v>291.292876</v>
      </c>
      <c r="J39" s="99">
        <f t="shared" si="22"/>
        <v>193.3333333</v>
      </c>
      <c r="K39" s="99">
        <f t="shared" si="22"/>
        <v>117.3333333</v>
      </c>
      <c r="L39" s="99">
        <f t="shared" si="22"/>
        <v>160.5584642</v>
      </c>
      <c r="M39" s="99">
        <f t="shared" si="22"/>
        <v>22.61306533</v>
      </c>
      <c r="N39" s="99">
        <f t="shared" si="22"/>
        <v>8.130081301</v>
      </c>
      <c r="O39" s="99">
        <f t="shared" si="22"/>
        <v>74.01812689</v>
      </c>
      <c r="P39" s="99">
        <f t="shared" si="22"/>
        <v>63.39066339</v>
      </c>
      <c r="Q39" s="99">
        <f t="shared" si="22"/>
        <v>47.22222222</v>
      </c>
      <c r="R39" s="99">
        <f t="shared" si="22"/>
        <v>29.90654206</v>
      </c>
      <c r="S39" s="99">
        <f t="shared" si="22"/>
        <v>38.57566766</v>
      </c>
      <c r="T39" s="99">
        <f t="shared" si="22"/>
        <v>31.51474077</v>
      </c>
      <c r="U39" s="99">
        <f t="shared" si="22"/>
        <v>37.17948718</v>
      </c>
      <c r="V39" s="99">
        <f t="shared" si="22"/>
        <v>33.78042722</v>
      </c>
      <c r="W39" s="99">
        <f t="shared" si="22"/>
        <v>16.64066563</v>
      </c>
      <c r="X39" s="99">
        <f t="shared" si="22"/>
        <v>16.8128655</v>
      </c>
      <c r="Y39" s="99">
        <f t="shared" si="22"/>
        <v>13.20754717</v>
      </c>
      <c r="Z39" s="99">
        <f t="shared" si="22"/>
        <v>5.565862709</v>
      </c>
      <c r="AA39" s="99">
        <f t="shared" si="22"/>
        <v>10.22566996</v>
      </c>
      <c r="AB39" s="99">
        <f t="shared" si="22"/>
        <v>7.372654155</v>
      </c>
      <c r="AC39" s="99">
        <f t="shared" si="22"/>
        <v>5.159388244</v>
      </c>
      <c r="AD39" s="99">
        <f t="shared" si="22"/>
        <v>2.599935002</v>
      </c>
      <c r="AE39" s="97"/>
      <c r="AF39" s="17"/>
      <c r="AG39" s="17"/>
      <c r="AH39" s="17"/>
    </row>
    <row r="40">
      <c r="A40" s="82" t="s">
        <v>177</v>
      </c>
      <c r="B40" s="99">
        <f t="shared" ref="B40:AD40" si="23">B12/2</f>
        <v>174.7368421</v>
      </c>
      <c r="C40" s="99">
        <f t="shared" si="23"/>
        <v>208.3333333</v>
      </c>
      <c r="D40" s="99">
        <f t="shared" si="23"/>
        <v>187.3873874</v>
      </c>
      <c r="E40" s="99">
        <f t="shared" si="23"/>
        <v>145.5223881</v>
      </c>
      <c r="F40" s="99">
        <f t="shared" si="23"/>
        <v>84.22939068</v>
      </c>
      <c r="G40" s="99">
        <f t="shared" si="23"/>
        <v>46.31578947</v>
      </c>
      <c r="H40" s="99">
        <f t="shared" si="23"/>
        <v>72.38095238</v>
      </c>
      <c r="I40" s="99">
        <f t="shared" si="23"/>
        <v>297.6253298</v>
      </c>
      <c r="J40" s="99">
        <f t="shared" si="23"/>
        <v>196.6666667</v>
      </c>
      <c r="K40" s="99">
        <f t="shared" si="23"/>
        <v>128</v>
      </c>
      <c r="L40" s="99">
        <f t="shared" si="23"/>
        <v>176.2652705</v>
      </c>
      <c r="M40" s="99">
        <f t="shared" si="23"/>
        <v>22.61306533</v>
      </c>
      <c r="N40" s="99">
        <f t="shared" si="23"/>
        <v>8.130081301</v>
      </c>
      <c r="O40" s="99">
        <f t="shared" si="23"/>
        <v>75.02517623</v>
      </c>
      <c r="P40" s="99">
        <f t="shared" si="23"/>
        <v>65.84766585</v>
      </c>
      <c r="Q40" s="99">
        <f t="shared" si="23"/>
        <v>50.46296296</v>
      </c>
      <c r="R40" s="99">
        <f t="shared" si="23"/>
        <v>29.90654206</v>
      </c>
      <c r="S40" s="99">
        <f t="shared" si="23"/>
        <v>38.57566766</v>
      </c>
      <c r="T40" s="99">
        <f t="shared" si="23"/>
        <v>31.51474077</v>
      </c>
      <c r="U40" s="99">
        <f t="shared" si="23"/>
        <v>38.46153846</v>
      </c>
      <c r="V40" s="99">
        <f t="shared" si="23"/>
        <v>34.7739692</v>
      </c>
      <c r="W40" s="99">
        <f t="shared" si="23"/>
        <v>20.80083203</v>
      </c>
      <c r="X40" s="99">
        <f t="shared" si="23"/>
        <v>17.54385965</v>
      </c>
      <c r="Y40" s="99">
        <f t="shared" si="23"/>
        <v>13.20754717</v>
      </c>
      <c r="Z40" s="99">
        <f t="shared" si="23"/>
        <v>7.421150278</v>
      </c>
      <c r="AA40" s="99">
        <f t="shared" si="23"/>
        <v>11.28349788</v>
      </c>
      <c r="AB40" s="99">
        <f t="shared" si="23"/>
        <v>7.372654155</v>
      </c>
      <c r="AC40" s="99">
        <f t="shared" si="23"/>
        <v>5.159388244</v>
      </c>
      <c r="AD40" s="99">
        <f t="shared" si="23"/>
        <v>2.599935002</v>
      </c>
      <c r="AE40" s="97"/>
      <c r="AF40" s="17"/>
      <c r="AG40" s="17"/>
      <c r="AH40" s="17"/>
    </row>
    <row r="41">
      <c r="A41" s="82" t="s">
        <v>198</v>
      </c>
      <c r="B41" s="99">
        <f t="shared" ref="B41:AD41" si="24">B13/2</f>
        <v>0</v>
      </c>
      <c r="C41" s="99">
        <f t="shared" si="24"/>
        <v>3.333333333</v>
      </c>
      <c r="D41" s="99">
        <f t="shared" si="24"/>
        <v>0</v>
      </c>
      <c r="E41" s="99">
        <f t="shared" si="24"/>
        <v>5.597014925</v>
      </c>
      <c r="F41" s="99">
        <f t="shared" si="24"/>
        <v>23.29749104</v>
      </c>
      <c r="G41" s="99">
        <f t="shared" si="24"/>
        <v>0</v>
      </c>
      <c r="H41" s="99">
        <f t="shared" si="24"/>
        <v>3.80952381</v>
      </c>
      <c r="I41" s="99">
        <f t="shared" si="24"/>
        <v>0</v>
      </c>
      <c r="J41" s="99">
        <f t="shared" si="24"/>
        <v>0</v>
      </c>
      <c r="K41" s="99">
        <f t="shared" si="24"/>
        <v>2.133333333</v>
      </c>
      <c r="L41" s="99">
        <f t="shared" si="24"/>
        <v>0</v>
      </c>
      <c r="M41" s="99">
        <f t="shared" si="24"/>
        <v>0</v>
      </c>
      <c r="N41" s="99">
        <f t="shared" si="24"/>
        <v>0</v>
      </c>
      <c r="O41" s="99">
        <f t="shared" si="24"/>
        <v>3.021148036</v>
      </c>
      <c r="P41" s="99">
        <f t="shared" si="24"/>
        <v>0.4914004914</v>
      </c>
      <c r="Q41" s="99">
        <f t="shared" si="24"/>
        <v>0</v>
      </c>
      <c r="R41" s="99">
        <f t="shared" si="24"/>
        <v>0</v>
      </c>
      <c r="S41" s="99">
        <f t="shared" si="24"/>
        <v>0</v>
      </c>
      <c r="T41" s="99">
        <f t="shared" si="24"/>
        <v>0.6777363606</v>
      </c>
      <c r="U41" s="99">
        <f t="shared" si="24"/>
        <v>0</v>
      </c>
      <c r="V41" s="99">
        <f t="shared" si="24"/>
        <v>0</v>
      </c>
      <c r="W41" s="99">
        <f t="shared" si="24"/>
        <v>0</v>
      </c>
      <c r="X41" s="99">
        <f t="shared" si="24"/>
        <v>1.461988304</v>
      </c>
      <c r="Y41" s="99">
        <f t="shared" si="24"/>
        <v>1.886792453</v>
      </c>
      <c r="Z41" s="99">
        <f t="shared" si="24"/>
        <v>0</v>
      </c>
      <c r="AA41" s="99">
        <f t="shared" si="24"/>
        <v>0</v>
      </c>
      <c r="AB41" s="99">
        <f t="shared" si="24"/>
        <v>0</v>
      </c>
      <c r="AC41" s="99">
        <f t="shared" si="24"/>
        <v>0</v>
      </c>
      <c r="AD41" s="99">
        <f t="shared" si="24"/>
        <v>0</v>
      </c>
      <c r="AE41" s="97"/>
      <c r="AF41" s="17"/>
      <c r="AG41" s="17"/>
      <c r="AH41" s="17"/>
    </row>
    <row r="42">
      <c r="A42" s="82" t="s">
        <v>199</v>
      </c>
      <c r="B42" s="99">
        <f t="shared" ref="B42:AD42" si="25">B14/2</f>
        <v>124.2105263</v>
      </c>
      <c r="C42" s="99">
        <f t="shared" si="25"/>
        <v>33.33333333</v>
      </c>
      <c r="D42" s="99">
        <f t="shared" si="25"/>
        <v>43.24324324</v>
      </c>
      <c r="E42" s="99">
        <f t="shared" si="25"/>
        <v>33.58208955</v>
      </c>
      <c r="F42" s="99">
        <f t="shared" si="25"/>
        <v>17.92114695</v>
      </c>
      <c r="G42" s="99">
        <f t="shared" si="25"/>
        <v>0</v>
      </c>
      <c r="H42" s="99">
        <f t="shared" si="25"/>
        <v>22.85714286</v>
      </c>
      <c r="I42" s="99">
        <f t="shared" si="25"/>
        <v>59.10290237</v>
      </c>
      <c r="J42" s="99">
        <f t="shared" si="25"/>
        <v>25</v>
      </c>
      <c r="K42" s="99">
        <f t="shared" si="25"/>
        <v>66.13333333</v>
      </c>
      <c r="L42" s="99">
        <f t="shared" si="25"/>
        <v>17.45200698</v>
      </c>
      <c r="M42" s="99">
        <f t="shared" si="25"/>
        <v>7.537688442</v>
      </c>
      <c r="N42" s="99">
        <f t="shared" si="25"/>
        <v>4.06504065</v>
      </c>
      <c r="O42" s="99">
        <f t="shared" si="25"/>
        <v>10.07049345</v>
      </c>
      <c r="P42" s="99">
        <f t="shared" si="25"/>
        <v>12.28501229</v>
      </c>
      <c r="Q42" s="99">
        <f t="shared" si="25"/>
        <v>6.944444444</v>
      </c>
      <c r="R42" s="99">
        <f t="shared" si="25"/>
        <v>0</v>
      </c>
      <c r="S42" s="99">
        <f t="shared" si="25"/>
        <v>2.96735905</v>
      </c>
      <c r="T42" s="99">
        <f t="shared" si="25"/>
        <v>2.710945442</v>
      </c>
      <c r="U42" s="99">
        <f t="shared" si="25"/>
        <v>7.051282051</v>
      </c>
      <c r="V42" s="99">
        <f t="shared" si="25"/>
        <v>5.961251863</v>
      </c>
      <c r="W42" s="99">
        <f t="shared" si="25"/>
        <v>6.24024961</v>
      </c>
      <c r="X42" s="99">
        <f t="shared" si="25"/>
        <v>6.578947368</v>
      </c>
      <c r="Y42" s="99">
        <f t="shared" si="25"/>
        <v>3.773584906</v>
      </c>
      <c r="Z42" s="99">
        <f t="shared" si="25"/>
        <v>0</v>
      </c>
      <c r="AA42" s="99">
        <f t="shared" si="25"/>
        <v>0.3526093089</v>
      </c>
      <c r="AB42" s="99">
        <f t="shared" si="25"/>
        <v>1.340482574</v>
      </c>
      <c r="AC42" s="99">
        <f t="shared" si="25"/>
        <v>1.105583195</v>
      </c>
      <c r="AD42" s="99">
        <f t="shared" si="25"/>
        <v>1.299967501</v>
      </c>
      <c r="AE42" s="97"/>
      <c r="AF42" s="17"/>
      <c r="AG42" s="17"/>
      <c r="AH42" s="17"/>
    </row>
    <row r="43">
      <c r="A43" s="102" t="s">
        <v>200</v>
      </c>
      <c r="B43" s="99">
        <f t="shared" ref="B43:AD43" si="26">B15/2</f>
        <v>328.4210526</v>
      </c>
      <c r="C43" s="99">
        <f t="shared" si="26"/>
        <v>163.3333333</v>
      </c>
      <c r="D43" s="99">
        <f t="shared" si="26"/>
        <v>234.2342342</v>
      </c>
      <c r="E43" s="99">
        <f t="shared" si="26"/>
        <v>233.2089552</v>
      </c>
      <c r="F43" s="99">
        <f t="shared" si="26"/>
        <v>143.3691756</v>
      </c>
      <c r="G43" s="99">
        <f t="shared" si="26"/>
        <v>149.4736842</v>
      </c>
      <c r="H43" s="99">
        <f t="shared" si="26"/>
        <v>127.6190476</v>
      </c>
      <c r="I43" s="99">
        <f t="shared" si="26"/>
        <v>198.4168865</v>
      </c>
      <c r="J43" s="99">
        <f t="shared" si="26"/>
        <v>233.3333333</v>
      </c>
      <c r="K43" s="99">
        <f t="shared" si="26"/>
        <v>243.2</v>
      </c>
      <c r="L43" s="99">
        <f t="shared" si="26"/>
        <v>164.0488656</v>
      </c>
      <c r="M43" s="99">
        <f t="shared" si="26"/>
        <v>85.42713568</v>
      </c>
      <c r="N43" s="99">
        <f t="shared" si="26"/>
        <v>77.23577236</v>
      </c>
      <c r="O43" s="99">
        <f t="shared" si="26"/>
        <v>124.8741188</v>
      </c>
      <c r="P43" s="99">
        <f t="shared" si="26"/>
        <v>126.7813268</v>
      </c>
      <c r="Q43" s="99">
        <f t="shared" si="26"/>
        <v>137.962963</v>
      </c>
      <c r="R43" s="99">
        <f t="shared" si="26"/>
        <v>136.4485981</v>
      </c>
      <c r="S43" s="99">
        <f t="shared" si="26"/>
        <v>118.694362</v>
      </c>
      <c r="T43" s="99">
        <f t="shared" si="26"/>
        <v>115.2151813</v>
      </c>
      <c r="U43" s="99">
        <f t="shared" si="26"/>
        <v>94.23076923</v>
      </c>
      <c r="V43" s="99">
        <f t="shared" si="26"/>
        <v>77.49627422</v>
      </c>
      <c r="W43" s="99">
        <f t="shared" si="26"/>
        <v>106.0842434</v>
      </c>
      <c r="X43" s="99">
        <f t="shared" si="26"/>
        <v>73.0994152</v>
      </c>
      <c r="Y43" s="99">
        <f t="shared" si="26"/>
        <v>71.69811321</v>
      </c>
      <c r="Z43" s="99">
        <f t="shared" si="26"/>
        <v>66.7903525</v>
      </c>
      <c r="AA43" s="99">
        <f t="shared" si="26"/>
        <v>56.77009873</v>
      </c>
      <c r="AB43" s="99">
        <f t="shared" si="26"/>
        <v>46.24664879</v>
      </c>
      <c r="AC43" s="99">
        <f t="shared" si="26"/>
        <v>39.43246729</v>
      </c>
      <c r="AD43" s="99">
        <f t="shared" si="26"/>
        <v>41.59896003</v>
      </c>
      <c r="AE43" s="97"/>
      <c r="AF43" s="17"/>
      <c r="AG43" s="17"/>
      <c r="AH43" s="17"/>
    </row>
    <row r="44">
      <c r="A44" s="82" t="s">
        <v>178</v>
      </c>
      <c r="B44" s="99">
        <f t="shared" ref="B44:AD44" si="27">B16/2</f>
        <v>370.5263158</v>
      </c>
      <c r="C44" s="99">
        <f t="shared" si="27"/>
        <v>326.6666667</v>
      </c>
      <c r="D44" s="99">
        <f t="shared" si="27"/>
        <v>371.1711712</v>
      </c>
      <c r="E44" s="99">
        <f t="shared" si="27"/>
        <v>322.761194</v>
      </c>
      <c r="F44" s="99">
        <f t="shared" si="27"/>
        <v>182.7956989</v>
      </c>
      <c r="G44" s="99">
        <f t="shared" si="27"/>
        <v>195.7894737</v>
      </c>
      <c r="H44" s="99">
        <f t="shared" si="27"/>
        <v>163.8095238</v>
      </c>
      <c r="I44" s="99">
        <f t="shared" si="27"/>
        <v>428.4960422</v>
      </c>
      <c r="J44" s="99">
        <f t="shared" si="27"/>
        <v>401.6666667</v>
      </c>
      <c r="K44" s="99">
        <f t="shared" si="27"/>
        <v>292.2666667</v>
      </c>
      <c r="L44" s="99">
        <f t="shared" si="27"/>
        <v>305.4101222</v>
      </c>
      <c r="M44" s="99">
        <f t="shared" si="27"/>
        <v>100.5025126</v>
      </c>
      <c r="N44" s="99">
        <f t="shared" si="27"/>
        <v>77.23577236</v>
      </c>
      <c r="O44" s="99">
        <f t="shared" si="27"/>
        <v>184.2900302</v>
      </c>
      <c r="P44" s="99">
        <f t="shared" si="27"/>
        <v>176.4127764</v>
      </c>
      <c r="Q44" s="99">
        <f t="shared" si="27"/>
        <v>177.7777778</v>
      </c>
      <c r="R44" s="99">
        <f t="shared" si="27"/>
        <v>166.3551402</v>
      </c>
      <c r="S44" s="99">
        <f t="shared" si="27"/>
        <v>154.3026706</v>
      </c>
      <c r="T44" s="99">
        <f t="shared" si="27"/>
        <v>143.0023721</v>
      </c>
      <c r="U44" s="99">
        <f t="shared" si="27"/>
        <v>123.7179487</v>
      </c>
      <c r="V44" s="99">
        <f t="shared" si="27"/>
        <v>105.3154496</v>
      </c>
      <c r="W44" s="99">
        <f t="shared" si="27"/>
        <v>116.4846594</v>
      </c>
      <c r="X44" s="99">
        <f t="shared" si="27"/>
        <v>81.87134503</v>
      </c>
      <c r="Y44" s="99">
        <f t="shared" si="27"/>
        <v>79.24528302</v>
      </c>
      <c r="Z44" s="99">
        <f t="shared" si="27"/>
        <v>70.50092764</v>
      </c>
      <c r="AA44" s="99">
        <f t="shared" si="27"/>
        <v>66.64315938</v>
      </c>
      <c r="AB44" s="99">
        <f t="shared" si="27"/>
        <v>52.27882038</v>
      </c>
      <c r="AC44" s="99">
        <f t="shared" si="27"/>
        <v>43.11774461</v>
      </c>
      <c r="AD44" s="99">
        <f t="shared" si="27"/>
        <v>42.89892753</v>
      </c>
      <c r="AE44" s="97"/>
      <c r="AF44" s="17"/>
      <c r="AG44" s="17"/>
      <c r="AH44" s="17"/>
    </row>
    <row r="45">
      <c r="A45" s="82" t="s">
        <v>201</v>
      </c>
      <c r="B45" s="99">
        <f t="shared" ref="B45:AD45" si="28">B17/2</f>
        <v>503.1578947</v>
      </c>
      <c r="C45" s="99">
        <f t="shared" si="28"/>
        <v>371.6666667</v>
      </c>
      <c r="D45" s="99">
        <f t="shared" si="28"/>
        <v>421.6216216</v>
      </c>
      <c r="E45" s="99">
        <f t="shared" si="28"/>
        <v>378.7313433</v>
      </c>
      <c r="F45" s="99">
        <f t="shared" si="28"/>
        <v>227.5985663</v>
      </c>
      <c r="G45" s="99">
        <f t="shared" si="28"/>
        <v>195.7894737</v>
      </c>
      <c r="H45" s="99">
        <f t="shared" si="28"/>
        <v>200</v>
      </c>
      <c r="I45" s="99">
        <f t="shared" si="28"/>
        <v>496.0422164</v>
      </c>
      <c r="J45" s="99">
        <f t="shared" si="28"/>
        <v>430</v>
      </c>
      <c r="K45" s="99">
        <f t="shared" si="28"/>
        <v>371.2</v>
      </c>
      <c r="L45" s="99">
        <f t="shared" si="28"/>
        <v>340.3141361</v>
      </c>
      <c r="M45" s="99">
        <f t="shared" si="28"/>
        <v>108.040201</v>
      </c>
      <c r="N45" s="99">
        <f t="shared" si="28"/>
        <v>85.36585366</v>
      </c>
      <c r="O45" s="99">
        <f t="shared" si="28"/>
        <v>199.8992951</v>
      </c>
      <c r="P45" s="99">
        <f t="shared" si="28"/>
        <v>192.6289926</v>
      </c>
      <c r="Q45" s="99">
        <f t="shared" si="28"/>
        <v>188.4259259</v>
      </c>
      <c r="R45" s="99">
        <f t="shared" si="28"/>
        <v>166.3551402</v>
      </c>
      <c r="S45" s="99">
        <f t="shared" si="28"/>
        <v>157.2700297</v>
      </c>
      <c r="T45" s="99">
        <f t="shared" si="28"/>
        <v>146.7299221</v>
      </c>
      <c r="U45" s="99">
        <f t="shared" si="28"/>
        <v>132.6923077</v>
      </c>
      <c r="V45" s="99">
        <f t="shared" si="28"/>
        <v>112.2702434</v>
      </c>
      <c r="W45" s="99">
        <f t="shared" si="28"/>
        <v>126.8850754</v>
      </c>
      <c r="X45" s="99">
        <f t="shared" si="28"/>
        <v>90.64327485</v>
      </c>
      <c r="Y45" s="99">
        <f t="shared" si="28"/>
        <v>84.90566038</v>
      </c>
      <c r="Z45" s="99">
        <f t="shared" si="28"/>
        <v>74.21150278</v>
      </c>
      <c r="AA45" s="99">
        <f t="shared" si="28"/>
        <v>68.05359661</v>
      </c>
      <c r="AB45" s="99">
        <f t="shared" si="28"/>
        <v>53.61930295</v>
      </c>
      <c r="AC45" s="99">
        <f t="shared" si="28"/>
        <v>44.59185554</v>
      </c>
      <c r="AD45" s="99">
        <f t="shared" si="28"/>
        <v>44.19889503</v>
      </c>
      <c r="AE45" s="97"/>
      <c r="AF45" s="17"/>
      <c r="AG45" s="17"/>
      <c r="AH45" s="17"/>
    </row>
    <row r="46">
      <c r="A46" s="82" t="s">
        <v>202</v>
      </c>
      <c r="B46" s="99">
        <f t="shared" ref="B46:AD46" si="29">B18/2</f>
        <v>370.5263158</v>
      </c>
      <c r="C46" s="99">
        <f t="shared" si="29"/>
        <v>330</v>
      </c>
      <c r="D46" s="99">
        <f t="shared" si="29"/>
        <v>371.1711712</v>
      </c>
      <c r="E46" s="99">
        <f t="shared" si="29"/>
        <v>328.358209</v>
      </c>
      <c r="F46" s="99">
        <f t="shared" si="29"/>
        <v>207.8853047</v>
      </c>
      <c r="G46" s="99">
        <f t="shared" si="29"/>
        <v>195.7894737</v>
      </c>
      <c r="H46" s="99">
        <f t="shared" si="29"/>
        <v>167.6190476</v>
      </c>
      <c r="I46" s="99">
        <f t="shared" si="29"/>
        <v>430.6068602</v>
      </c>
      <c r="J46" s="99">
        <f t="shared" si="29"/>
        <v>401.6666667</v>
      </c>
      <c r="K46" s="99">
        <f t="shared" si="29"/>
        <v>294.4</v>
      </c>
      <c r="L46" s="99">
        <f t="shared" si="29"/>
        <v>307.1553229</v>
      </c>
      <c r="M46" s="99">
        <f t="shared" si="29"/>
        <v>100.5025126</v>
      </c>
      <c r="N46" s="99">
        <f t="shared" si="29"/>
        <v>77.23577236</v>
      </c>
      <c r="O46" s="99">
        <f t="shared" si="29"/>
        <v>188.3182276</v>
      </c>
      <c r="P46" s="99">
        <f t="shared" si="29"/>
        <v>176.9041769</v>
      </c>
      <c r="Q46" s="99">
        <f t="shared" si="29"/>
        <v>177.7777778</v>
      </c>
      <c r="R46" s="99">
        <f t="shared" si="29"/>
        <v>166.3551402</v>
      </c>
      <c r="S46" s="99">
        <f t="shared" si="29"/>
        <v>154.3026706</v>
      </c>
      <c r="T46" s="99">
        <f t="shared" si="29"/>
        <v>143.6801084</v>
      </c>
      <c r="U46" s="99">
        <f t="shared" si="29"/>
        <v>124.3589744</v>
      </c>
      <c r="V46" s="99">
        <f t="shared" si="29"/>
        <v>105.3154496</v>
      </c>
      <c r="W46" s="99">
        <f t="shared" si="29"/>
        <v>116.4846594</v>
      </c>
      <c r="X46" s="99">
        <f t="shared" si="29"/>
        <v>83.33333333</v>
      </c>
      <c r="Y46" s="99">
        <f t="shared" si="29"/>
        <v>81.13207547</v>
      </c>
      <c r="Z46" s="99">
        <f t="shared" si="29"/>
        <v>72.35621521</v>
      </c>
      <c r="AA46" s="99">
        <f t="shared" si="29"/>
        <v>66.64315938</v>
      </c>
      <c r="AB46" s="99">
        <f t="shared" si="29"/>
        <v>52.27882038</v>
      </c>
      <c r="AC46" s="99">
        <f t="shared" si="29"/>
        <v>43.11774461</v>
      </c>
      <c r="AD46" s="99">
        <f t="shared" si="29"/>
        <v>42.89892753</v>
      </c>
      <c r="AE46" s="97"/>
      <c r="AF46" s="17"/>
      <c r="AG46" s="17"/>
      <c r="AH46" s="17"/>
    </row>
    <row r="47">
      <c r="A47" s="82" t="s">
        <v>203</v>
      </c>
      <c r="B47" s="99">
        <f t="shared" ref="B47:AD47" si="30">B19/2</f>
        <v>414.7368421</v>
      </c>
      <c r="C47" s="99">
        <f t="shared" si="30"/>
        <v>391.6666667</v>
      </c>
      <c r="D47" s="99">
        <f t="shared" si="30"/>
        <v>410.8108108</v>
      </c>
      <c r="E47" s="99">
        <f t="shared" si="30"/>
        <v>360.0746269</v>
      </c>
      <c r="F47" s="99">
        <f t="shared" si="30"/>
        <v>220.4301075</v>
      </c>
      <c r="G47" s="99">
        <f t="shared" si="30"/>
        <v>351.5789474</v>
      </c>
      <c r="H47" s="99">
        <f t="shared" si="30"/>
        <v>188.5714286</v>
      </c>
      <c r="I47" s="99">
        <f t="shared" si="30"/>
        <v>481.2664908</v>
      </c>
      <c r="J47" s="99">
        <f t="shared" si="30"/>
        <v>520</v>
      </c>
      <c r="K47" s="99">
        <f t="shared" si="30"/>
        <v>341.3333333</v>
      </c>
      <c r="L47" s="99">
        <f t="shared" si="30"/>
        <v>364.7469459</v>
      </c>
      <c r="M47" s="99">
        <f t="shared" si="30"/>
        <v>138.1909548</v>
      </c>
      <c r="N47" s="99">
        <f t="shared" si="30"/>
        <v>77.23577236</v>
      </c>
      <c r="O47" s="99">
        <f t="shared" si="30"/>
        <v>239.1742195</v>
      </c>
      <c r="P47" s="99">
        <f t="shared" si="30"/>
        <v>219.1646192</v>
      </c>
      <c r="Q47" s="99">
        <f t="shared" si="30"/>
        <v>274.537037</v>
      </c>
      <c r="R47" s="99">
        <f t="shared" si="30"/>
        <v>203.7383178</v>
      </c>
      <c r="S47" s="99">
        <f t="shared" si="30"/>
        <v>267.0623145</v>
      </c>
      <c r="T47" s="99">
        <f t="shared" si="30"/>
        <v>181.9722128</v>
      </c>
      <c r="U47" s="99">
        <f t="shared" si="30"/>
        <v>148.7179487</v>
      </c>
      <c r="V47" s="99">
        <f t="shared" si="30"/>
        <v>117.2379533</v>
      </c>
      <c r="W47" s="99">
        <f t="shared" si="30"/>
        <v>122.724909</v>
      </c>
      <c r="X47" s="99">
        <f t="shared" si="30"/>
        <v>111.1111111</v>
      </c>
      <c r="Y47" s="99">
        <f t="shared" si="30"/>
        <v>96.22641509</v>
      </c>
      <c r="Z47" s="99">
        <f t="shared" si="30"/>
        <v>87.19851577</v>
      </c>
      <c r="AA47" s="99">
        <f t="shared" si="30"/>
        <v>77.92665726</v>
      </c>
      <c r="AB47" s="99">
        <f t="shared" si="30"/>
        <v>53.61930295</v>
      </c>
      <c r="AC47" s="99">
        <f t="shared" si="30"/>
        <v>47.54007739</v>
      </c>
      <c r="AD47" s="99">
        <f t="shared" si="30"/>
        <v>44.19889503</v>
      </c>
      <c r="AE47" s="97"/>
      <c r="AF47" s="17"/>
      <c r="AG47" s="17"/>
      <c r="AH47" s="17"/>
    </row>
    <row r="48">
      <c r="A48" s="82" t="s">
        <v>204</v>
      </c>
      <c r="B48" s="99">
        <f t="shared" ref="B48:AD48" si="31">B20/2</f>
        <v>8.421052632</v>
      </c>
      <c r="C48" s="99">
        <f t="shared" si="31"/>
        <v>11.66666667</v>
      </c>
      <c r="D48" s="99">
        <f t="shared" si="31"/>
        <v>0</v>
      </c>
      <c r="E48" s="99">
        <f t="shared" si="31"/>
        <v>9.328358209</v>
      </c>
      <c r="F48" s="99">
        <f t="shared" si="31"/>
        <v>21.50537634</v>
      </c>
      <c r="G48" s="99">
        <f t="shared" si="31"/>
        <v>0</v>
      </c>
      <c r="H48" s="99">
        <f t="shared" si="31"/>
        <v>1.904761905</v>
      </c>
      <c r="I48" s="99">
        <f t="shared" si="31"/>
        <v>10.55408971</v>
      </c>
      <c r="J48" s="99">
        <f t="shared" si="31"/>
        <v>8.333333333</v>
      </c>
      <c r="K48" s="99">
        <f t="shared" si="31"/>
        <v>8.533333333</v>
      </c>
      <c r="L48" s="99">
        <f t="shared" si="31"/>
        <v>3.490401396</v>
      </c>
      <c r="M48" s="99">
        <f t="shared" si="31"/>
        <v>0</v>
      </c>
      <c r="N48" s="99">
        <f t="shared" si="31"/>
        <v>4.06504065</v>
      </c>
      <c r="O48" s="99">
        <f t="shared" si="31"/>
        <v>6.545820745</v>
      </c>
      <c r="P48" s="99">
        <f t="shared" si="31"/>
        <v>5.405405405</v>
      </c>
      <c r="Q48" s="99">
        <f t="shared" si="31"/>
        <v>0.462962963</v>
      </c>
      <c r="R48" s="99">
        <f t="shared" si="31"/>
        <v>0</v>
      </c>
      <c r="S48" s="99">
        <f t="shared" si="31"/>
        <v>0</v>
      </c>
      <c r="T48" s="99">
        <f t="shared" si="31"/>
        <v>2.372077262</v>
      </c>
      <c r="U48" s="99">
        <f t="shared" si="31"/>
        <v>1.282051282</v>
      </c>
      <c r="V48" s="99">
        <f t="shared" si="31"/>
        <v>1.987083954</v>
      </c>
      <c r="W48" s="99">
        <f t="shared" si="31"/>
        <v>2.080083203</v>
      </c>
      <c r="X48" s="99">
        <f t="shared" si="31"/>
        <v>4.385964912</v>
      </c>
      <c r="Y48" s="99">
        <f t="shared" si="31"/>
        <v>3.773584906</v>
      </c>
      <c r="Z48" s="99">
        <f t="shared" si="31"/>
        <v>1.85528757</v>
      </c>
      <c r="AA48" s="99">
        <f t="shared" si="31"/>
        <v>1.410437236</v>
      </c>
      <c r="AB48" s="99">
        <f t="shared" si="31"/>
        <v>0</v>
      </c>
      <c r="AC48" s="99">
        <f t="shared" si="31"/>
        <v>0</v>
      </c>
      <c r="AD48" s="99">
        <f t="shared" si="31"/>
        <v>0</v>
      </c>
      <c r="AE48" s="97"/>
      <c r="AF48" s="17"/>
      <c r="AG48" s="17"/>
      <c r="AH48" s="17"/>
    </row>
    <row r="49">
      <c r="A49" s="82" t="s">
        <v>205</v>
      </c>
      <c r="B49" s="99">
        <f t="shared" ref="B49:AD49" si="32">B21/2</f>
        <v>65.26315789</v>
      </c>
      <c r="C49" s="99">
        <f t="shared" si="32"/>
        <v>40</v>
      </c>
      <c r="D49" s="99">
        <f t="shared" si="32"/>
        <v>61.26126126</v>
      </c>
      <c r="E49" s="99">
        <f t="shared" si="32"/>
        <v>44.7761194</v>
      </c>
      <c r="F49" s="99">
        <f t="shared" si="32"/>
        <v>19.71326165</v>
      </c>
      <c r="G49" s="99">
        <f t="shared" si="32"/>
        <v>0</v>
      </c>
      <c r="H49" s="99">
        <f t="shared" si="32"/>
        <v>60.95238095</v>
      </c>
      <c r="I49" s="99">
        <f t="shared" si="32"/>
        <v>35.88390501</v>
      </c>
      <c r="J49" s="99">
        <f t="shared" si="32"/>
        <v>6.666666667</v>
      </c>
      <c r="K49" s="99">
        <f t="shared" si="32"/>
        <v>46.93333333</v>
      </c>
      <c r="L49" s="99">
        <f t="shared" si="32"/>
        <v>10.47120419</v>
      </c>
      <c r="M49" s="99">
        <f t="shared" si="32"/>
        <v>2.512562814</v>
      </c>
      <c r="N49" s="99">
        <f t="shared" si="32"/>
        <v>4.06504065</v>
      </c>
      <c r="O49" s="99">
        <f t="shared" si="32"/>
        <v>6.042296073</v>
      </c>
      <c r="P49" s="99">
        <f t="shared" si="32"/>
        <v>10.31941032</v>
      </c>
      <c r="Q49" s="99">
        <f t="shared" si="32"/>
        <v>1.851851852</v>
      </c>
      <c r="R49" s="99">
        <f t="shared" si="32"/>
        <v>0</v>
      </c>
      <c r="S49" s="99">
        <f t="shared" si="32"/>
        <v>2.96735905</v>
      </c>
      <c r="T49" s="99">
        <f t="shared" si="32"/>
        <v>1.016604541</v>
      </c>
      <c r="U49" s="99">
        <f t="shared" si="32"/>
        <v>6.41025641</v>
      </c>
      <c r="V49" s="99">
        <f t="shared" si="32"/>
        <v>5.464480874</v>
      </c>
      <c r="W49" s="99">
        <f t="shared" si="32"/>
        <v>0</v>
      </c>
      <c r="X49" s="99">
        <f t="shared" si="32"/>
        <v>3.65497076</v>
      </c>
      <c r="Y49" s="99">
        <f t="shared" si="32"/>
        <v>5.660377358</v>
      </c>
      <c r="Z49" s="99">
        <f t="shared" si="32"/>
        <v>1.85528757</v>
      </c>
      <c r="AA49" s="99">
        <f t="shared" si="32"/>
        <v>1.057827927</v>
      </c>
      <c r="AB49" s="99">
        <f t="shared" si="32"/>
        <v>0.6702412869</v>
      </c>
      <c r="AC49" s="99">
        <f t="shared" si="32"/>
        <v>1.105583195</v>
      </c>
      <c r="AD49" s="99">
        <f t="shared" si="32"/>
        <v>0</v>
      </c>
      <c r="AE49" s="97"/>
      <c r="AF49" s="17"/>
      <c r="AG49" s="17"/>
      <c r="AH49" s="17"/>
    </row>
    <row r="50">
      <c r="A50" s="102" t="s">
        <v>206</v>
      </c>
      <c r="B50" s="99">
        <f t="shared" ref="B50:AD50" si="33">B22/2</f>
        <v>117.8947368</v>
      </c>
      <c r="C50" s="99">
        <f t="shared" si="33"/>
        <v>116.6666667</v>
      </c>
      <c r="D50" s="99">
        <f t="shared" si="33"/>
        <v>100.9009009</v>
      </c>
      <c r="E50" s="99">
        <f t="shared" si="33"/>
        <v>91.41791045</v>
      </c>
      <c r="F50" s="99">
        <f t="shared" si="33"/>
        <v>78.85304659</v>
      </c>
      <c r="G50" s="99">
        <f t="shared" si="33"/>
        <v>155.7894737</v>
      </c>
      <c r="H50" s="99">
        <f t="shared" si="33"/>
        <v>87.61904762</v>
      </c>
      <c r="I50" s="99">
        <f t="shared" si="33"/>
        <v>99.20844327</v>
      </c>
      <c r="J50" s="99">
        <f t="shared" si="33"/>
        <v>133.3333333</v>
      </c>
      <c r="K50" s="99">
        <f t="shared" si="33"/>
        <v>104.5333333</v>
      </c>
      <c r="L50" s="99">
        <f t="shared" si="33"/>
        <v>73.29842932</v>
      </c>
      <c r="M50" s="99">
        <f t="shared" si="33"/>
        <v>40.20100503</v>
      </c>
      <c r="N50" s="99">
        <f t="shared" si="33"/>
        <v>8.130081301</v>
      </c>
      <c r="O50" s="99">
        <f t="shared" si="33"/>
        <v>67.47230614</v>
      </c>
      <c r="P50" s="99">
        <f t="shared" si="33"/>
        <v>58.47665848</v>
      </c>
      <c r="Q50" s="99">
        <f t="shared" si="33"/>
        <v>99.07407407</v>
      </c>
      <c r="R50" s="99">
        <f t="shared" si="33"/>
        <v>37.38317757</v>
      </c>
      <c r="S50" s="99">
        <f t="shared" si="33"/>
        <v>115.727003</v>
      </c>
      <c r="T50" s="99">
        <f t="shared" si="33"/>
        <v>42.35852253</v>
      </c>
      <c r="U50" s="99">
        <f t="shared" si="33"/>
        <v>32.69230769</v>
      </c>
      <c r="V50" s="99">
        <f t="shared" si="33"/>
        <v>19.37406855</v>
      </c>
      <c r="W50" s="99">
        <f t="shared" si="33"/>
        <v>8.320332813</v>
      </c>
      <c r="X50" s="99">
        <f t="shared" si="33"/>
        <v>37.28070175</v>
      </c>
      <c r="Y50" s="99">
        <f t="shared" si="33"/>
        <v>26.41509434</v>
      </c>
      <c r="Z50" s="99">
        <f t="shared" si="33"/>
        <v>20.40816327</v>
      </c>
      <c r="AA50" s="99">
        <f t="shared" si="33"/>
        <v>13.75176305</v>
      </c>
      <c r="AB50" s="99">
        <f t="shared" si="33"/>
        <v>2.010723861</v>
      </c>
      <c r="AC50" s="99">
        <f t="shared" si="33"/>
        <v>5.527915976</v>
      </c>
      <c r="AD50" s="99">
        <f t="shared" si="33"/>
        <v>1.299967501</v>
      </c>
      <c r="AE50" s="97"/>
      <c r="AF50" s="17"/>
      <c r="AG50" s="17"/>
      <c r="AH50" s="17"/>
    </row>
    <row r="51">
      <c r="A51" s="82" t="s">
        <v>207</v>
      </c>
      <c r="B51" s="99">
        <f t="shared" ref="B51:AD51" si="34">B23/2</f>
        <v>621.0526316</v>
      </c>
      <c r="C51" s="99">
        <f t="shared" si="34"/>
        <v>488.3333333</v>
      </c>
      <c r="D51" s="99">
        <f t="shared" si="34"/>
        <v>522.5225225</v>
      </c>
      <c r="E51" s="99">
        <f t="shared" si="34"/>
        <v>470.1492537</v>
      </c>
      <c r="F51" s="99">
        <f t="shared" si="34"/>
        <v>306.4516129</v>
      </c>
      <c r="G51" s="99">
        <f t="shared" si="34"/>
        <v>351.5789474</v>
      </c>
      <c r="H51" s="99">
        <f t="shared" si="34"/>
        <v>287.6190476</v>
      </c>
      <c r="I51" s="99">
        <f t="shared" si="34"/>
        <v>595.2506596</v>
      </c>
      <c r="J51" s="99">
        <f t="shared" si="34"/>
        <v>563.3333333</v>
      </c>
      <c r="K51" s="99">
        <f t="shared" si="34"/>
        <v>475.7333333</v>
      </c>
      <c r="L51" s="99">
        <f t="shared" si="34"/>
        <v>413.6125654</v>
      </c>
      <c r="M51" s="99">
        <f t="shared" si="34"/>
        <v>148.241206</v>
      </c>
      <c r="N51" s="99">
        <f t="shared" si="34"/>
        <v>93.49593496</v>
      </c>
      <c r="O51" s="99">
        <f t="shared" si="34"/>
        <v>267.3716012</v>
      </c>
      <c r="P51" s="99">
        <f t="shared" si="34"/>
        <v>251.1056511</v>
      </c>
      <c r="Q51" s="99">
        <f t="shared" si="34"/>
        <v>287.5</v>
      </c>
      <c r="R51" s="99">
        <f t="shared" si="34"/>
        <v>203.7383178</v>
      </c>
      <c r="S51" s="99">
        <f t="shared" si="34"/>
        <v>272.9970326</v>
      </c>
      <c r="T51" s="99">
        <f t="shared" si="34"/>
        <v>189.0884446</v>
      </c>
      <c r="U51" s="99">
        <f t="shared" si="34"/>
        <v>165.3846154</v>
      </c>
      <c r="V51" s="99">
        <f t="shared" si="34"/>
        <v>131.644312</v>
      </c>
      <c r="W51" s="99">
        <f t="shared" si="34"/>
        <v>135.2054082</v>
      </c>
      <c r="X51" s="99">
        <f t="shared" si="34"/>
        <v>127.9239766</v>
      </c>
      <c r="Y51" s="99">
        <f t="shared" si="34"/>
        <v>111.3207547</v>
      </c>
      <c r="Z51" s="99">
        <f t="shared" si="34"/>
        <v>94.61966605</v>
      </c>
      <c r="AA51" s="99">
        <f t="shared" si="34"/>
        <v>81.80535966</v>
      </c>
      <c r="AB51" s="99">
        <f t="shared" si="34"/>
        <v>55.63002681</v>
      </c>
      <c r="AC51" s="99">
        <f t="shared" si="34"/>
        <v>50.11977151</v>
      </c>
      <c r="AD51" s="99">
        <f t="shared" si="34"/>
        <v>45.49886253</v>
      </c>
      <c r="AE51" s="97"/>
      <c r="AF51" s="17"/>
      <c r="AG51" s="17"/>
      <c r="AH51" s="17"/>
    </row>
    <row r="52">
      <c r="A52" s="82" t="s">
        <v>181</v>
      </c>
      <c r="B52" s="99">
        <f t="shared" ref="B52:AD52" si="35">B24/2</f>
        <v>484.2105263</v>
      </c>
      <c r="C52" s="99">
        <f t="shared" si="35"/>
        <v>465</v>
      </c>
      <c r="D52" s="99">
        <f t="shared" si="35"/>
        <v>464.8648649</v>
      </c>
      <c r="E52" s="99">
        <f t="shared" si="35"/>
        <v>479.4776119</v>
      </c>
      <c r="F52" s="99">
        <f t="shared" si="35"/>
        <v>308.2437276</v>
      </c>
      <c r="G52" s="99">
        <f t="shared" si="35"/>
        <v>701.0526316</v>
      </c>
      <c r="H52" s="99">
        <f t="shared" si="35"/>
        <v>300.952381</v>
      </c>
      <c r="I52" s="99">
        <f t="shared" si="35"/>
        <v>510.817942</v>
      </c>
      <c r="J52" s="99">
        <f t="shared" si="35"/>
        <v>668.3333333</v>
      </c>
      <c r="K52" s="99">
        <f t="shared" si="35"/>
        <v>433.0666667</v>
      </c>
      <c r="L52" s="99">
        <f t="shared" si="35"/>
        <v>436.3001745</v>
      </c>
      <c r="M52" s="99">
        <f t="shared" si="35"/>
        <v>288.9447236</v>
      </c>
      <c r="N52" s="99">
        <f t="shared" si="35"/>
        <v>186.9918699</v>
      </c>
      <c r="O52" s="99">
        <f t="shared" si="35"/>
        <v>370.0906344</v>
      </c>
      <c r="P52" s="99">
        <f t="shared" si="35"/>
        <v>348.4029484</v>
      </c>
      <c r="Q52" s="99">
        <f t="shared" si="35"/>
        <v>460.1851852</v>
      </c>
      <c r="R52" s="99">
        <f t="shared" si="35"/>
        <v>398.1308411</v>
      </c>
      <c r="S52" s="99">
        <f t="shared" si="35"/>
        <v>391.6913947</v>
      </c>
      <c r="T52" s="99">
        <f t="shared" si="35"/>
        <v>371.7383938</v>
      </c>
      <c r="U52" s="99">
        <f t="shared" si="35"/>
        <v>261.5384615</v>
      </c>
      <c r="V52" s="99">
        <f t="shared" si="35"/>
        <v>187.7794337</v>
      </c>
      <c r="W52" s="99">
        <f t="shared" si="35"/>
        <v>203.8481539</v>
      </c>
      <c r="X52" s="99">
        <f t="shared" si="35"/>
        <v>209.0643275</v>
      </c>
      <c r="Y52" s="99">
        <f t="shared" si="35"/>
        <v>190.5660377</v>
      </c>
      <c r="Z52" s="99">
        <f t="shared" si="35"/>
        <v>187.3840445</v>
      </c>
      <c r="AA52" s="99">
        <f t="shared" si="35"/>
        <v>187.5881523</v>
      </c>
      <c r="AB52" s="99">
        <f t="shared" si="35"/>
        <v>143.4316354</v>
      </c>
      <c r="AC52" s="99">
        <f t="shared" si="35"/>
        <v>117.9288741</v>
      </c>
      <c r="AD52" s="99">
        <f t="shared" si="35"/>
        <v>115.6971076</v>
      </c>
      <c r="AE52" s="97"/>
      <c r="AF52" s="17"/>
      <c r="AG52" s="17"/>
      <c r="AH52" s="17"/>
    </row>
    <row r="53">
      <c r="A53" s="82" t="s">
        <v>208</v>
      </c>
      <c r="B53" s="99">
        <f t="shared" ref="B53:AD53" si="36">B25/2</f>
        <v>0</v>
      </c>
      <c r="C53" s="99">
        <f t="shared" si="36"/>
        <v>1.666666667</v>
      </c>
      <c r="D53" s="99">
        <f t="shared" si="36"/>
        <v>7.207207207</v>
      </c>
      <c r="E53" s="99">
        <f t="shared" si="36"/>
        <v>3.731343284</v>
      </c>
      <c r="F53" s="99">
        <f t="shared" si="36"/>
        <v>17.92114695</v>
      </c>
      <c r="G53" s="99">
        <f t="shared" si="36"/>
        <v>0</v>
      </c>
      <c r="H53" s="99">
        <f t="shared" si="36"/>
        <v>0</v>
      </c>
      <c r="I53" s="99">
        <f t="shared" si="36"/>
        <v>2.110817942</v>
      </c>
      <c r="J53" s="99">
        <f t="shared" si="36"/>
        <v>0</v>
      </c>
      <c r="K53" s="99">
        <f t="shared" si="36"/>
        <v>4.266666667</v>
      </c>
      <c r="L53" s="99">
        <f t="shared" si="36"/>
        <v>1.745200698</v>
      </c>
      <c r="M53" s="99">
        <f t="shared" si="36"/>
        <v>5.025125628</v>
      </c>
      <c r="N53" s="99">
        <f t="shared" si="36"/>
        <v>0</v>
      </c>
      <c r="O53" s="99">
        <f t="shared" si="36"/>
        <v>5.5387714</v>
      </c>
      <c r="P53" s="99">
        <f t="shared" si="36"/>
        <v>1.965601966</v>
      </c>
      <c r="Q53" s="99">
        <f t="shared" si="36"/>
        <v>2.314814815</v>
      </c>
      <c r="R53" s="99">
        <f t="shared" si="36"/>
        <v>0</v>
      </c>
      <c r="S53" s="99">
        <f t="shared" si="36"/>
        <v>5.934718101</v>
      </c>
      <c r="T53" s="99">
        <f t="shared" si="36"/>
        <v>1.016604541</v>
      </c>
      <c r="U53" s="99">
        <f t="shared" si="36"/>
        <v>3.205128205</v>
      </c>
      <c r="V53" s="99">
        <f t="shared" si="36"/>
        <v>0</v>
      </c>
      <c r="W53" s="99">
        <f t="shared" si="36"/>
        <v>2.080083203</v>
      </c>
      <c r="X53" s="99">
        <f t="shared" si="36"/>
        <v>0.730994152</v>
      </c>
      <c r="Y53" s="99">
        <f t="shared" si="36"/>
        <v>1.886792453</v>
      </c>
      <c r="Z53" s="99">
        <f t="shared" si="36"/>
        <v>1.85528757</v>
      </c>
      <c r="AA53" s="99">
        <f t="shared" si="36"/>
        <v>1.763046544</v>
      </c>
      <c r="AB53" s="99">
        <f t="shared" si="36"/>
        <v>0.6702412869</v>
      </c>
      <c r="AC53" s="99">
        <f t="shared" si="36"/>
        <v>0</v>
      </c>
      <c r="AD53" s="99">
        <f t="shared" si="36"/>
        <v>0</v>
      </c>
      <c r="AE53" s="97"/>
      <c r="AF53" s="17"/>
      <c r="AG53" s="17"/>
      <c r="AH53" s="17"/>
    </row>
    <row r="54">
      <c r="A54" s="82" t="s">
        <v>209</v>
      </c>
      <c r="B54" s="99">
        <f t="shared" ref="B54:AD54" si="37">B26/2</f>
        <v>31.57894737</v>
      </c>
      <c r="C54" s="99">
        <f t="shared" si="37"/>
        <v>46.66666667</v>
      </c>
      <c r="D54" s="99">
        <f t="shared" si="37"/>
        <v>43.24324324</v>
      </c>
      <c r="E54" s="99">
        <f t="shared" si="37"/>
        <v>18.65671642</v>
      </c>
      <c r="F54" s="99">
        <f t="shared" si="37"/>
        <v>23.29749104</v>
      </c>
      <c r="G54" s="99">
        <f t="shared" si="37"/>
        <v>0</v>
      </c>
      <c r="H54" s="99">
        <f t="shared" si="37"/>
        <v>49.52380952</v>
      </c>
      <c r="I54" s="99">
        <f t="shared" si="37"/>
        <v>40.1055409</v>
      </c>
      <c r="J54" s="99">
        <f t="shared" si="37"/>
        <v>10</v>
      </c>
      <c r="K54" s="99">
        <f t="shared" si="37"/>
        <v>59.73333333</v>
      </c>
      <c r="L54" s="99">
        <f t="shared" si="37"/>
        <v>31.41361257</v>
      </c>
      <c r="M54" s="99">
        <f t="shared" si="37"/>
        <v>7.537688442</v>
      </c>
      <c r="N54" s="99">
        <f t="shared" si="37"/>
        <v>0</v>
      </c>
      <c r="O54" s="99">
        <f t="shared" si="37"/>
        <v>8.559919436</v>
      </c>
      <c r="P54" s="99">
        <f t="shared" si="37"/>
        <v>17.69041769</v>
      </c>
      <c r="Q54" s="99">
        <f t="shared" si="37"/>
        <v>4.166666667</v>
      </c>
      <c r="R54" s="99">
        <f t="shared" si="37"/>
        <v>0</v>
      </c>
      <c r="S54" s="99">
        <f t="shared" si="37"/>
        <v>0</v>
      </c>
      <c r="T54" s="99">
        <f t="shared" si="37"/>
        <v>0.6777363606</v>
      </c>
      <c r="U54" s="99">
        <f t="shared" si="37"/>
        <v>5.769230769</v>
      </c>
      <c r="V54" s="99">
        <f t="shared" si="37"/>
        <v>6.458022851</v>
      </c>
      <c r="W54" s="99">
        <f t="shared" si="37"/>
        <v>2.080083203</v>
      </c>
      <c r="X54" s="99">
        <f t="shared" si="37"/>
        <v>9.502923977</v>
      </c>
      <c r="Y54" s="99">
        <f t="shared" si="37"/>
        <v>0</v>
      </c>
      <c r="Z54" s="99">
        <f t="shared" si="37"/>
        <v>1.85528757</v>
      </c>
      <c r="AA54" s="99">
        <f t="shared" si="37"/>
        <v>0.3526093089</v>
      </c>
      <c r="AB54" s="99">
        <f t="shared" si="37"/>
        <v>2.010723861</v>
      </c>
      <c r="AC54" s="99">
        <f t="shared" si="37"/>
        <v>0</v>
      </c>
      <c r="AD54" s="99">
        <f t="shared" si="37"/>
        <v>0</v>
      </c>
      <c r="AE54" s="97"/>
      <c r="AF54" s="17"/>
      <c r="AG54" s="17"/>
      <c r="AH54" s="17"/>
    </row>
    <row r="55">
      <c r="A55" s="102" t="s">
        <v>210</v>
      </c>
      <c r="B55" s="99">
        <f t="shared" ref="B55:AD55" si="38">B27/2</f>
        <v>101.0526316</v>
      </c>
      <c r="C55" s="99">
        <f t="shared" si="38"/>
        <v>121.6666667</v>
      </c>
      <c r="D55" s="99">
        <f t="shared" si="38"/>
        <v>104.5045045</v>
      </c>
      <c r="E55" s="99">
        <f t="shared" si="38"/>
        <v>141.7910448</v>
      </c>
      <c r="F55" s="99">
        <f t="shared" si="38"/>
        <v>129.0322581</v>
      </c>
      <c r="G55" s="99">
        <f t="shared" si="38"/>
        <v>349.4736842</v>
      </c>
      <c r="H55" s="99">
        <f t="shared" si="38"/>
        <v>161.9047619</v>
      </c>
      <c r="I55" s="99">
        <f t="shared" si="38"/>
        <v>71.76781003</v>
      </c>
      <c r="J55" s="99">
        <f t="shared" si="38"/>
        <v>158.3333333</v>
      </c>
      <c r="K55" s="99">
        <f t="shared" si="38"/>
        <v>155.7333333</v>
      </c>
      <c r="L55" s="99">
        <f t="shared" si="38"/>
        <v>104.7120419</v>
      </c>
      <c r="M55" s="99">
        <f t="shared" si="38"/>
        <v>163.3165829</v>
      </c>
      <c r="N55" s="99">
        <f t="shared" si="38"/>
        <v>109.7560976</v>
      </c>
      <c r="O55" s="99">
        <f t="shared" si="38"/>
        <v>145.0151057</v>
      </c>
      <c r="P55" s="99">
        <f t="shared" si="38"/>
        <v>148.8943489</v>
      </c>
      <c r="Q55" s="99">
        <f t="shared" si="38"/>
        <v>192.1296296</v>
      </c>
      <c r="R55" s="99">
        <f t="shared" si="38"/>
        <v>194.3925234</v>
      </c>
      <c r="S55" s="99">
        <f t="shared" si="38"/>
        <v>130.5637982</v>
      </c>
      <c r="T55" s="99">
        <f t="shared" si="38"/>
        <v>191.4605219</v>
      </c>
      <c r="U55" s="99">
        <f t="shared" si="38"/>
        <v>121.7948718</v>
      </c>
      <c r="V55" s="99">
        <f t="shared" si="38"/>
        <v>76.99950323</v>
      </c>
      <c r="W55" s="99">
        <f t="shared" si="38"/>
        <v>85.28341134</v>
      </c>
      <c r="X55" s="99">
        <f t="shared" si="38"/>
        <v>108.1871345</v>
      </c>
      <c r="Y55" s="99">
        <f t="shared" si="38"/>
        <v>96.22641509</v>
      </c>
      <c r="Z55" s="99">
        <f t="shared" si="38"/>
        <v>103.8961039</v>
      </c>
      <c r="AA55" s="99">
        <f t="shared" si="38"/>
        <v>111.7771509</v>
      </c>
      <c r="AB55" s="99">
        <f t="shared" si="38"/>
        <v>92.49329759</v>
      </c>
      <c r="AC55" s="99">
        <f t="shared" si="38"/>
        <v>70.38879676</v>
      </c>
      <c r="AD55" s="99">
        <f t="shared" si="38"/>
        <v>71.49821254</v>
      </c>
      <c r="AE55" s="97"/>
      <c r="AF55" s="17"/>
      <c r="AG55" s="17"/>
      <c r="AH55" s="17"/>
    </row>
    <row r="56">
      <c r="A56" s="82" t="s">
        <v>211</v>
      </c>
      <c r="B56" s="99">
        <f t="shared" ref="B56:AD56" si="39">B28/2</f>
        <v>722.1052632</v>
      </c>
      <c r="C56" s="99">
        <f t="shared" si="39"/>
        <v>610</v>
      </c>
      <c r="D56" s="99">
        <f t="shared" si="39"/>
        <v>627.027027</v>
      </c>
      <c r="E56" s="99">
        <f t="shared" si="39"/>
        <v>611.9402985</v>
      </c>
      <c r="F56" s="99">
        <f t="shared" si="39"/>
        <v>435.483871</v>
      </c>
      <c r="G56" s="99">
        <f t="shared" si="39"/>
        <v>701.0526316</v>
      </c>
      <c r="H56" s="99">
        <f t="shared" si="39"/>
        <v>449.5238095</v>
      </c>
      <c r="I56" s="99">
        <f t="shared" si="39"/>
        <v>667.0184697</v>
      </c>
      <c r="J56" s="99">
        <f t="shared" si="39"/>
        <v>721.6666667</v>
      </c>
      <c r="K56" s="99">
        <f t="shared" si="39"/>
        <v>631.4666667</v>
      </c>
      <c r="L56" s="99">
        <f t="shared" si="39"/>
        <v>518.3246073</v>
      </c>
      <c r="M56" s="99">
        <f t="shared" si="39"/>
        <v>311.5577889</v>
      </c>
      <c r="N56" s="99">
        <f t="shared" si="39"/>
        <v>203.2520325</v>
      </c>
      <c r="O56" s="99">
        <f t="shared" si="39"/>
        <v>412.3867069</v>
      </c>
      <c r="P56" s="99">
        <f t="shared" si="39"/>
        <v>400</v>
      </c>
      <c r="Q56" s="99">
        <f t="shared" si="39"/>
        <v>479.6296296</v>
      </c>
      <c r="R56" s="99">
        <f t="shared" si="39"/>
        <v>398.1308411</v>
      </c>
      <c r="S56" s="99">
        <f t="shared" si="39"/>
        <v>403.5608309</v>
      </c>
      <c r="T56" s="99">
        <f t="shared" si="39"/>
        <v>380.5489665</v>
      </c>
      <c r="U56" s="99">
        <f t="shared" si="39"/>
        <v>287.1794872</v>
      </c>
      <c r="V56" s="99">
        <f t="shared" si="39"/>
        <v>208.6438152</v>
      </c>
      <c r="W56" s="99">
        <f t="shared" si="39"/>
        <v>220.4888196</v>
      </c>
      <c r="X56" s="99">
        <f t="shared" si="39"/>
        <v>236.1111111</v>
      </c>
      <c r="Y56" s="99">
        <f t="shared" si="39"/>
        <v>207.5471698</v>
      </c>
      <c r="Z56" s="99">
        <f t="shared" si="39"/>
        <v>198.5157699</v>
      </c>
      <c r="AA56" s="99">
        <f t="shared" si="39"/>
        <v>193.5825106</v>
      </c>
      <c r="AB56" s="99">
        <f t="shared" si="39"/>
        <v>148.1233244</v>
      </c>
      <c r="AC56" s="99">
        <f t="shared" si="39"/>
        <v>120.5085683</v>
      </c>
      <c r="AD56" s="99">
        <f t="shared" si="39"/>
        <v>116.9970751</v>
      </c>
      <c r="AE56" s="97"/>
      <c r="AF56" s="17"/>
      <c r="AG56" s="17"/>
      <c r="AH56" s="17"/>
    </row>
    <row r="57">
      <c r="A57" s="105" t="str">
        <f t="array" ref="A57:AB88">TRANSPOSE(A29:AF56)</f>
        <v/>
      </c>
      <c r="B57" s="17" t="s">
        <v>174</v>
      </c>
      <c r="C57" s="17" t="s">
        <v>45</v>
      </c>
      <c r="D57" s="17" t="s">
        <v>48</v>
      </c>
      <c r="E57" s="97" t="s">
        <v>175</v>
      </c>
      <c r="F57" s="17" t="s">
        <v>195</v>
      </c>
      <c r="G57" s="17" t="s">
        <v>180</v>
      </c>
      <c r="H57" s="97" t="s">
        <v>196</v>
      </c>
      <c r="I57" s="17">
        <v>45455.0</v>
      </c>
      <c r="J57" s="17" t="s">
        <v>176</v>
      </c>
      <c r="K57" s="17" t="s">
        <v>197</v>
      </c>
      <c r="L57" s="17" t="s">
        <v>177</v>
      </c>
      <c r="M57" s="17" t="s">
        <v>198</v>
      </c>
      <c r="N57" s="17" t="s">
        <v>199</v>
      </c>
      <c r="O57" s="17" t="s">
        <v>200</v>
      </c>
      <c r="P57" s="17" t="s">
        <v>178</v>
      </c>
      <c r="Q57" s="17" t="s">
        <v>201</v>
      </c>
      <c r="R57" s="17" t="s">
        <v>202</v>
      </c>
      <c r="S57" s="17" t="s">
        <v>203</v>
      </c>
      <c r="T57" s="17" t="s">
        <v>204</v>
      </c>
      <c r="U57" s="17" t="s">
        <v>205</v>
      </c>
      <c r="V57" s="17" t="s">
        <v>206</v>
      </c>
      <c r="W57" s="17" t="s">
        <v>207</v>
      </c>
      <c r="X57" s="17" t="s">
        <v>181</v>
      </c>
      <c r="Y57" s="17" t="s">
        <v>208</v>
      </c>
      <c r="Z57" s="17" t="s">
        <v>209</v>
      </c>
      <c r="AA57" s="17" t="s">
        <v>210</v>
      </c>
      <c r="AB57" s="17" t="s">
        <v>211</v>
      </c>
      <c r="AC57" s="17"/>
      <c r="AD57" s="17"/>
      <c r="AE57" s="97"/>
      <c r="AF57" s="17"/>
      <c r="AG57" s="17"/>
      <c r="AH57" s="17"/>
    </row>
    <row r="58">
      <c r="A58" s="105" t="s">
        <v>0</v>
      </c>
      <c r="B58" s="17">
        <v>46.31578947368421</v>
      </c>
      <c r="C58" s="17">
        <v>21.052631578947366</v>
      </c>
      <c r="D58" s="17">
        <v>0.0</v>
      </c>
      <c r="E58" s="17">
        <v>46.31578947368421</v>
      </c>
      <c r="F58" s="17">
        <v>0.0</v>
      </c>
      <c r="G58" s="17">
        <v>107.36842105263159</v>
      </c>
      <c r="H58" s="17">
        <v>8.421052631578947</v>
      </c>
      <c r="I58" s="17">
        <v>128.42105263157893</v>
      </c>
      <c r="J58" s="17">
        <v>166.3157894736842</v>
      </c>
      <c r="K58" s="17">
        <v>166.3157894736842</v>
      </c>
      <c r="L58" s="17">
        <v>174.73684210526315</v>
      </c>
      <c r="M58" s="17">
        <v>0.0</v>
      </c>
      <c r="N58" s="17">
        <v>124.21052631578948</v>
      </c>
      <c r="O58" s="17">
        <v>328.42105263157896</v>
      </c>
      <c r="P58" s="17">
        <v>370.52631578947364</v>
      </c>
      <c r="Q58" s="17">
        <v>503.1578947368421</v>
      </c>
      <c r="R58" s="17">
        <v>370.52631578947364</v>
      </c>
      <c r="S58" s="17">
        <v>414.736842105263</v>
      </c>
      <c r="T58" s="17">
        <v>8.421052631578947</v>
      </c>
      <c r="U58" s="17">
        <v>65.26315789473684</v>
      </c>
      <c r="V58" s="17">
        <v>117.89473684210526</v>
      </c>
      <c r="W58" s="17">
        <v>621.0526315789473</v>
      </c>
      <c r="X58" s="17">
        <v>484.21052631578937</v>
      </c>
      <c r="Y58" s="17">
        <v>0.0</v>
      </c>
      <c r="Z58" s="17">
        <v>31.578947368421055</v>
      </c>
      <c r="AA58" s="17">
        <v>101.05263157894737</v>
      </c>
      <c r="AB58" s="17">
        <v>722.1052631578947</v>
      </c>
      <c r="AC58" s="17"/>
      <c r="AD58" s="17"/>
      <c r="AE58" s="97"/>
      <c r="AF58" s="17"/>
      <c r="AG58" s="17"/>
      <c r="AH58" s="17"/>
    </row>
    <row r="59">
      <c r="A59" s="105" t="s">
        <v>1</v>
      </c>
      <c r="B59" s="17">
        <v>83.33333333333333</v>
      </c>
      <c r="C59" s="17">
        <v>43.333333333333336</v>
      </c>
      <c r="D59" s="17">
        <v>0.0</v>
      </c>
      <c r="E59" s="17">
        <v>83.33333333333333</v>
      </c>
      <c r="F59" s="17">
        <v>0.0</v>
      </c>
      <c r="G59" s="17">
        <v>110.0</v>
      </c>
      <c r="H59" s="17">
        <v>8.333333333333334</v>
      </c>
      <c r="I59" s="17">
        <v>125.0</v>
      </c>
      <c r="J59" s="17">
        <v>199.99999999999997</v>
      </c>
      <c r="K59" s="17">
        <v>199.99999999999997</v>
      </c>
      <c r="L59" s="17">
        <v>208.33333333333331</v>
      </c>
      <c r="M59" s="17">
        <v>3.3333333333333335</v>
      </c>
      <c r="N59" s="17">
        <v>33.333333333333336</v>
      </c>
      <c r="O59" s="17">
        <v>163.33333333333334</v>
      </c>
      <c r="P59" s="17">
        <v>326.6666666666667</v>
      </c>
      <c r="Q59" s="17">
        <v>371.66666666666663</v>
      </c>
      <c r="R59" s="17">
        <v>330.0</v>
      </c>
      <c r="S59" s="17">
        <v>391.6666666666667</v>
      </c>
      <c r="T59" s="17">
        <v>11.666666666666668</v>
      </c>
      <c r="U59" s="17">
        <v>40.0</v>
      </c>
      <c r="V59" s="17">
        <v>116.66666666666667</v>
      </c>
      <c r="W59" s="17">
        <v>488.3333333333333</v>
      </c>
      <c r="X59" s="17">
        <v>465.0000000000001</v>
      </c>
      <c r="Y59" s="17">
        <v>1.6666666666666667</v>
      </c>
      <c r="Z59" s="17">
        <v>46.66666666666667</v>
      </c>
      <c r="AA59" s="17">
        <v>121.66666666666667</v>
      </c>
      <c r="AB59" s="17">
        <v>610.0</v>
      </c>
      <c r="AC59" s="17"/>
      <c r="AD59" s="17"/>
      <c r="AE59" s="97"/>
      <c r="AF59" s="17"/>
      <c r="AG59" s="17"/>
      <c r="AH59" s="17"/>
    </row>
    <row r="60">
      <c r="A60" s="105" t="s">
        <v>2</v>
      </c>
      <c r="B60" s="17">
        <v>68.46846846846846</v>
      </c>
      <c r="C60" s="17">
        <v>39.63963963963964</v>
      </c>
      <c r="D60" s="17">
        <v>0.0</v>
      </c>
      <c r="E60" s="17">
        <v>68.46846846846846</v>
      </c>
      <c r="F60" s="17">
        <v>0.0</v>
      </c>
      <c r="G60" s="17">
        <v>104.50450450450451</v>
      </c>
      <c r="H60" s="17">
        <v>7.207207207207207</v>
      </c>
      <c r="I60" s="17">
        <v>118.91891891891892</v>
      </c>
      <c r="J60" s="17">
        <v>180.18018018018017</v>
      </c>
      <c r="K60" s="17">
        <v>180.18018018018017</v>
      </c>
      <c r="L60" s="17">
        <v>187.38738738738738</v>
      </c>
      <c r="M60" s="17">
        <v>0.0</v>
      </c>
      <c r="N60" s="17">
        <v>43.24324324324324</v>
      </c>
      <c r="O60" s="17">
        <v>234.23423423423424</v>
      </c>
      <c r="P60" s="17">
        <v>371.1711711711712</v>
      </c>
      <c r="Q60" s="17">
        <v>421.6216216216216</v>
      </c>
      <c r="R60" s="17">
        <v>371.1711711711712</v>
      </c>
      <c r="S60" s="17">
        <v>410.81081081081084</v>
      </c>
      <c r="T60" s="17">
        <v>0.0</v>
      </c>
      <c r="U60" s="17">
        <v>61.26126126126126</v>
      </c>
      <c r="V60" s="17">
        <v>100.9009009009009</v>
      </c>
      <c r="W60" s="17">
        <v>522.5225225225225</v>
      </c>
      <c r="X60" s="17">
        <v>464.86486486486496</v>
      </c>
      <c r="Y60" s="17">
        <v>7.207207207207207</v>
      </c>
      <c r="Z60" s="17">
        <v>43.24324324324324</v>
      </c>
      <c r="AA60" s="17">
        <v>104.50450450450451</v>
      </c>
      <c r="AB60" s="17">
        <v>627.0270270270271</v>
      </c>
      <c r="AC60" s="17"/>
      <c r="AD60" s="17"/>
      <c r="AE60" s="97"/>
      <c r="AF60" s="17"/>
      <c r="AG60" s="17"/>
      <c r="AH60" s="17"/>
    </row>
    <row r="61">
      <c r="A61" s="105" t="s">
        <v>3</v>
      </c>
      <c r="B61" s="17">
        <v>72.76119402985074</v>
      </c>
      <c r="C61" s="17">
        <v>29.850746268656717</v>
      </c>
      <c r="D61" s="17">
        <v>0.0</v>
      </c>
      <c r="E61" s="17">
        <v>72.76119402985074</v>
      </c>
      <c r="F61" s="17">
        <v>0.0</v>
      </c>
      <c r="G61" s="17">
        <v>110.07462686567165</v>
      </c>
      <c r="H61" s="17">
        <v>16.791044776119403</v>
      </c>
      <c r="I61" s="17">
        <v>72.76119402985074</v>
      </c>
      <c r="J61" s="17">
        <v>128.73134328358208</v>
      </c>
      <c r="K61" s="17">
        <v>128.73134328358208</v>
      </c>
      <c r="L61" s="17">
        <v>145.52238805970148</v>
      </c>
      <c r="M61" s="17">
        <v>5.597014925373134</v>
      </c>
      <c r="N61" s="17">
        <v>33.582089552238806</v>
      </c>
      <c r="O61" s="17">
        <v>233.2089552238806</v>
      </c>
      <c r="P61" s="17">
        <v>322.76119402985074</v>
      </c>
      <c r="Q61" s="17">
        <v>378.7313432835821</v>
      </c>
      <c r="R61" s="17">
        <v>328.35820895522386</v>
      </c>
      <c r="S61" s="17">
        <v>360.07462686567163</v>
      </c>
      <c r="T61" s="17">
        <v>9.328358208955223</v>
      </c>
      <c r="U61" s="17">
        <v>44.776119402985074</v>
      </c>
      <c r="V61" s="17">
        <v>91.41791044776119</v>
      </c>
      <c r="W61" s="17">
        <v>470.14925373134326</v>
      </c>
      <c r="X61" s="17">
        <v>479.4776119402986</v>
      </c>
      <c r="Y61" s="17">
        <v>3.7313432835820897</v>
      </c>
      <c r="Z61" s="17">
        <v>18.656716417910445</v>
      </c>
      <c r="AA61" s="17">
        <v>141.7910447761194</v>
      </c>
      <c r="AB61" s="17">
        <v>611.9402985074627</v>
      </c>
      <c r="AC61" s="17"/>
      <c r="AD61" s="17"/>
      <c r="AE61" s="97"/>
      <c r="AF61" s="17"/>
      <c r="AG61" s="17"/>
      <c r="AH61" s="17"/>
    </row>
    <row r="62">
      <c r="A62" s="105" t="s">
        <v>4</v>
      </c>
      <c r="B62" s="17">
        <v>30.46594982078853</v>
      </c>
      <c r="C62" s="17">
        <v>7.168458781362007</v>
      </c>
      <c r="D62" s="17">
        <v>0.0</v>
      </c>
      <c r="E62" s="17">
        <v>30.46594982078853</v>
      </c>
      <c r="F62" s="17">
        <v>1.7921146953405018</v>
      </c>
      <c r="G62" s="17">
        <v>46.59498207885305</v>
      </c>
      <c r="H62" s="17">
        <v>1.7921146953405018</v>
      </c>
      <c r="I62" s="17">
        <v>53.763440860215056</v>
      </c>
      <c r="J62" s="17">
        <v>80.64516129032259</v>
      </c>
      <c r="K62" s="17">
        <v>82.43727598566309</v>
      </c>
      <c r="L62" s="17">
        <v>84.2293906810036</v>
      </c>
      <c r="M62" s="17">
        <v>23.297491039426525</v>
      </c>
      <c r="N62" s="17">
        <v>17.921146953405017</v>
      </c>
      <c r="O62" s="17">
        <v>143.36917562724014</v>
      </c>
      <c r="P62" s="17">
        <v>182.7956989247312</v>
      </c>
      <c r="Q62" s="17">
        <v>227.59856630824373</v>
      </c>
      <c r="R62" s="17">
        <v>207.88530465949822</v>
      </c>
      <c r="S62" s="17">
        <v>220.43010752688173</v>
      </c>
      <c r="T62" s="17">
        <v>21.505376344086024</v>
      </c>
      <c r="U62" s="17">
        <v>19.71326164874552</v>
      </c>
      <c r="V62" s="17">
        <v>78.85304659498208</v>
      </c>
      <c r="W62" s="17">
        <v>306.4516129032258</v>
      </c>
      <c r="X62" s="17">
        <v>308.24372759856635</v>
      </c>
      <c r="Y62" s="17">
        <v>17.921146953405017</v>
      </c>
      <c r="Z62" s="17">
        <v>23.297491039426525</v>
      </c>
      <c r="AA62" s="17">
        <v>129.03225806451613</v>
      </c>
      <c r="AB62" s="17">
        <v>435.48387096774195</v>
      </c>
      <c r="AC62" s="17"/>
      <c r="AD62" s="17"/>
      <c r="AE62" s="97"/>
      <c r="AF62" s="17"/>
      <c r="AG62" s="17"/>
      <c r="AH62" s="17"/>
    </row>
    <row r="63">
      <c r="A63" s="105" t="s">
        <v>5</v>
      </c>
      <c r="B63" s="17">
        <v>16.842105263157894</v>
      </c>
      <c r="C63" s="17">
        <v>8.421052631578947</v>
      </c>
      <c r="D63" s="17">
        <v>0.0</v>
      </c>
      <c r="E63" s="17">
        <v>16.842105263157894</v>
      </c>
      <c r="F63" s="17">
        <v>0.0</v>
      </c>
      <c r="G63" s="17">
        <v>44.21052631578947</v>
      </c>
      <c r="H63" s="17">
        <v>0.0</v>
      </c>
      <c r="I63" s="17">
        <v>29.473684210526315</v>
      </c>
      <c r="J63" s="17">
        <v>46.315789473684205</v>
      </c>
      <c r="K63" s="17">
        <v>46.315789473684205</v>
      </c>
      <c r="L63" s="17">
        <v>46.315789473684205</v>
      </c>
      <c r="M63" s="17">
        <v>0.0</v>
      </c>
      <c r="N63" s="17">
        <v>0.0</v>
      </c>
      <c r="O63" s="17">
        <v>149.4736842105263</v>
      </c>
      <c r="P63" s="17">
        <v>195.78947368421052</v>
      </c>
      <c r="Q63" s="17">
        <v>195.78947368421052</v>
      </c>
      <c r="R63" s="17">
        <v>195.78947368421052</v>
      </c>
      <c r="S63" s="17">
        <v>351.57894736842104</v>
      </c>
      <c r="T63" s="17">
        <v>0.0</v>
      </c>
      <c r="U63" s="17">
        <v>0.0</v>
      </c>
      <c r="V63" s="17">
        <v>155.78947368421052</v>
      </c>
      <c r="W63" s="17">
        <v>351.57894736842104</v>
      </c>
      <c r="X63" s="17">
        <v>701.0526315789473</v>
      </c>
      <c r="Y63" s="17">
        <v>0.0</v>
      </c>
      <c r="Z63" s="17">
        <v>0.0</v>
      </c>
      <c r="AA63" s="17">
        <v>349.4736842105263</v>
      </c>
      <c r="AB63" s="17">
        <v>701.0526315789473</v>
      </c>
      <c r="AC63" s="17"/>
      <c r="AD63" s="17"/>
      <c r="AE63" s="97"/>
      <c r="AF63" s="17"/>
      <c r="AG63" s="17"/>
      <c r="AH63" s="17"/>
    </row>
    <row r="64">
      <c r="A64" s="105" t="s">
        <v>185</v>
      </c>
      <c r="B64" s="17">
        <v>22.857142857142858</v>
      </c>
      <c r="C64" s="17">
        <v>11.428571428571429</v>
      </c>
      <c r="D64" s="17">
        <v>0.0</v>
      </c>
      <c r="E64" s="17">
        <v>22.857142857142858</v>
      </c>
      <c r="F64" s="17">
        <v>0.0</v>
      </c>
      <c r="G64" s="17">
        <v>45.714285714285715</v>
      </c>
      <c r="H64" s="17">
        <v>9.523809523809526</v>
      </c>
      <c r="I64" s="17">
        <v>49.523809523809526</v>
      </c>
      <c r="J64" s="17">
        <v>62.857142857142854</v>
      </c>
      <c r="K64" s="17">
        <v>62.857142857142854</v>
      </c>
      <c r="L64" s="17">
        <v>72.38095238095238</v>
      </c>
      <c r="M64" s="17">
        <v>3.8095238095238093</v>
      </c>
      <c r="N64" s="17">
        <v>22.857142857142858</v>
      </c>
      <c r="O64" s="17">
        <v>127.61904761904763</v>
      </c>
      <c r="P64" s="17">
        <v>163.80952380952382</v>
      </c>
      <c r="Q64" s="17">
        <v>200.0</v>
      </c>
      <c r="R64" s="17">
        <v>167.61904761904762</v>
      </c>
      <c r="S64" s="17">
        <v>188.57142857142856</v>
      </c>
      <c r="T64" s="17">
        <v>1.9047619047619047</v>
      </c>
      <c r="U64" s="17">
        <v>60.95238095238095</v>
      </c>
      <c r="V64" s="17">
        <v>87.61904761904762</v>
      </c>
      <c r="W64" s="17">
        <v>287.6190476190476</v>
      </c>
      <c r="X64" s="17">
        <v>300.95238095238096</v>
      </c>
      <c r="Y64" s="17">
        <v>0.0</v>
      </c>
      <c r="Z64" s="17">
        <v>49.523809523809526</v>
      </c>
      <c r="AA64" s="17">
        <v>161.90476190476193</v>
      </c>
      <c r="AB64" s="17">
        <v>449.5238095238095</v>
      </c>
      <c r="AC64" s="17"/>
      <c r="AD64" s="17"/>
      <c r="AE64" s="97"/>
      <c r="AF64" s="17"/>
      <c r="AG64" s="17"/>
      <c r="AH64" s="17"/>
    </row>
    <row r="65">
      <c r="A65" s="105" t="s">
        <v>7</v>
      </c>
      <c r="B65" s="17">
        <v>154.08970976253298</v>
      </c>
      <c r="C65" s="100">
        <v>94.98680738786278</v>
      </c>
      <c r="D65" s="17">
        <v>0.0</v>
      </c>
      <c r="E65" s="100">
        <v>154.08970976253298</v>
      </c>
      <c r="F65" s="100">
        <v>2.1108179419525066</v>
      </c>
      <c r="G65" s="17">
        <v>113.98416886543536</v>
      </c>
      <c r="H65" s="100">
        <v>6.33245382585752</v>
      </c>
      <c r="I65" s="17">
        <v>143.53562005277044</v>
      </c>
      <c r="J65" s="17">
        <v>289.18205804749346</v>
      </c>
      <c r="K65" s="17">
        <v>291.2928759894459</v>
      </c>
      <c r="L65" s="17">
        <v>297.6253298153034</v>
      </c>
      <c r="M65" s="17">
        <v>0.0</v>
      </c>
      <c r="N65" s="17">
        <v>59.10290237467019</v>
      </c>
      <c r="O65" s="17">
        <v>198.4168865435356</v>
      </c>
      <c r="P65" s="17">
        <v>428.4960422163589</v>
      </c>
      <c r="Q65" s="17">
        <v>496.0422163588391</v>
      </c>
      <c r="R65" s="17">
        <v>430.60686015831135</v>
      </c>
      <c r="S65" s="17">
        <v>481.2664907651717</v>
      </c>
      <c r="T65" s="17">
        <v>10.554089709762534</v>
      </c>
      <c r="U65" s="17">
        <v>35.88390501319261</v>
      </c>
      <c r="V65" s="17">
        <v>99.2084432717678</v>
      </c>
      <c r="W65" s="17">
        <v>595.2506596306068</v>
      </c>
      <c r="X65" s="17">
        <v>510.8179419525067</v>
      </c>
      <c r="Y65" s="17">
        <v>2.1108179419525066</v>
      </c>
      <c r="Z65" s="17">
        <v>40.10554089709763</v>
      </c>
      <c r="AA65" s="17">
        <v>71.76781002638522</v>
      </c>
      <c r="AB65" s="17">
        <v>667.0184696569921</v>
      </c>
      <c r="AC65" s="17"/>
      <c r="AD65" s="17"/>
      <c r="AE65" s="97"/>
      <c r="AF65" s="17"/>
      <c r="AG65" s="17"/>
      <c r="AH65" s="17"/>
    </row>
    <row r="66">
      <c r="A66" s="105" t="s">
        <v>8</v>
      </c>
      <c r="B66" s="17">
        <v>105.00000000000001</v>
      </c>
      <c r="C66" s="17">
        <v>48.333333333333336</v>
      </c>
      <c r="D66" s="17">
        <v>0.0</v>
      </c>
      <c r="E66" s="17">
        <v>105.00000000000001</v>
      </c>
      <c r="F66" s="17">
        <v>0.0</v>
      </c>
      <c r="G66" s="17">
        <v>101.66666666666669</v>
      </c>
      <c r="H66" s="17">
        <v>3.333333333333333</v>
      </c>
      <c r="I66" s="17">
        <v>91.66666666666669</v>
      </c>
      <c r="J66" s="17">
        <v>193.33333333333334</v>
      </c>
      <c r="K66" s="17">
        <v>193.33333333333334</v>
      </c>
      <c r="L66" s="17">
        <v>196.66666666666669</v>
      </c>
      <c r="M66" s="17">
        <v>0.0</v>
      </c>
      <c r="N66" s="17">
        <v>24.999999999999996</v>
      </c>
      <c r="O66" s="17">
        <v>233.33333333333331</v>
      </c>
      <c r="P66" s="17">
        <v>401.66666666666674</v>
      </c>
      <c r="Q66" s="17">
        <v>430.0</v>
      </c>
      <c r="R66" s="17">
        <v>401.66666666666674</v>
      </c>
      <c r="S66" s="17">
        <v>520.0</v>
      </c>
      <c r="T66" s="17">
        <v>8.333333333333332</v>
      </c>
      <c r="U66" s="17">
        <v>6.666666666666666</v>
      </c>
      <c r="V66" s="17">
        <v>133.33333333333331</v>
      </c>
      <c r="W66" s="17">
        <v>563.3333333333334</v>
      </c>
      <c r="X66" s="17">
        <v>668.3333333333334</v>
      </c>
      <c r="Y66" s="17">
        <v>0.0</v>
      </c>
      <c r="Z66" s="17">
        <v>10.0</v>
      </c>
      <c r="AA66" s="17">
        <v>158.33333333333334</v>
      </c>
      <c r="AB66" s="17">
        <v>721.6666666666666</v>
      </c>
      <c r="AC66" s="17"/>
      <c r="AD66" s="17"/>
      <c r="AE66" s="97"/>
      <c r="AF66" s="17"/>
      <c r="AG66" s="17"/>
      <c r="AH66" s="17"/>
    </row>
    <row r="67">
      <c r="A67" s="105" t="s">
        <v>9</v>
      </c>
      <c r="B67" s="17">
        <v>38.4</v>
      </c>
      <c r="C67" s="17">
        <v>12.799999999999999</v>
      </c>
      <c r="D67" s="17">
        <v>0.0</v>
      </c>
      <c r="E67" s="17">
        <v>38.4</v>
      </c>
      <c r="F67" s="17">
        <v>0.0</v>
      </c>
      <c r="G67" s="17">
        <v>83.2</v>
      </c>
      <c r="H67" s="17">
        <v>10.666666666666666</v>
      </c>
      <c r="I67" s="17">
        <v>89.60000000000001</v>
      </c>
      <c r="J67" s="17">
        <v>117.33333333333334</v>
      </c>
      <c r="K67" s="17">
        <v>117.33333333333334</v>
      </c>
      <c r="L67" s="17">
        <v>128.0</v>
      </c>
      <c r="M67" s="17">
        <v>2.1333333333333337</v>
      </c>
      <c r="N67" s="17">
        <v>66.13333333333334</v>
      </c>
      <c r="O67" s="17">
        <v>243.2</v>
      </c>
      <c r="P67" s="17">
        <v>292.26666666666665</v>
      </c>
      <c r="Q67" s="17">
        <v>371.2</v>
      </c>
      <c r="R67" s="17">
        <v>294.4</v>
      </c>
      <c r="S67" s="17">
        <v>341.33333333333337</v>
      </c>
      <c r="T67" s="17">
        <v>8.533333333333335</v>
      </c>
      <c r="U67" s="17">
        <v>46.93333333333333</v>
      </c>
      <c r="V67" s="17">
        <v>104.53333333333335</v>
      </c>
      <c r="W67" s="17">
        <v>475.73333333333335</v>
      </c>
      <c r="X67" s="17">
        <v>433.0666666666666</v>
      </c>
      <c r="Y67" s="17">
        <v>4.2666666666666675</v>
      </c>
      <c r="Z67" s="17">
        <v>59.73333333333332</v>
      </c>
      <c r="AA67" s="17">
        <v>155.73333333333332</v>
      </c>
      <c r="AB67" s="17">
        <v>631.4666666666666</v>
      </c>
      <c r="AC67" s="17"/>
      <c r="AD67" s="17"/>
      <c r="AE67" s="97"/>
      <c r="AF67" s="17"/>
      <c r="AG67" s="17"/>
      <c r="AH67" s="17"/>
    </row>
    <row r="68">
      <c r="A68" s="105" t="s">
        <v>10</v>
      </c>
      <c r="B68" s="17">
        <v>73.29842931937172</v>
      </c>
      <c r="C68" s="17">
        <v>40.13961605584642</v>
      </c>
      <c r="D68" s="17">
        <v>0.0</v>
      </c>
      <c r="E68" s="17">
        <v>73.29842931937172</v>
      </c>
      <c r="F68" s="17">
        <v>1.7452006980802792</v>
      </c>
      <c r="G68" s="17">
        <v>92.49563699825481</v>
      </c>
      <c r="H68" s="17">
        <v>15.706806282722516</v>
      </c>
      <c r="I68" s="17">
        <v>102.96684118673646</v>
      </c>
      <c r="J68" s="17">
        <v>158.8132635253054</v>
      </c>
      <c r="K68" s="17">
        <v>160.55846422338567</v>
      </c>
      <c r="L68" s="17">
        <v>176.26527050610818</v>
      </c>
      <c r="M68" s="17">
        <v>0.0</v>
      </c>
      <c r="N68" s="17">
        <v>17.452006980802793</v>
      </c>
      <c r="O68" s="17">
        <v>164.04886561954623</v>
      </c>
      <c r="P68" s="17">
        <v>305.41012216404886</v>
      </c>
      <c r="Q68" s="17">
        <v>340.3141361256544</v>
      </c>
      <c r="R68" s="17">
        <v>307.1553228621291</v>
      </c>
      <c r="S68" s="17">
        <v>364.7469458987784</v>
      </c>
      <c r="T68" s="17">
        <v>3.4904013961605584</v>
      </c>
      <c r="U68" s="17">
        <v>10.471204188481675</v>
      </c>
      <c r="V68" s="17">
        <v>73.29842931937172</v>
      </c>
      <c r="W68" s="17">
        <v>413.6125654450262</v>
      </c>
      <c r="X68" s="17">
        <v>436.30017452006985</v>
      </c>
      <c r="Y68" s="17">
        <v>1.7452006980802792</v>
      </c>
      <c r="Z68" s="17">
        <v>31.413612565445032</v>
      </c>
      <c r="AA68" s="17">
        <v>104.71204188481676</v>
      </c>
      <c r="AB68" s="17">
        <v>518.3246073298429</v>
      </c>
      <c r="AC68" s="17"/>
      <c r="AD68" s="17"/>
      <c r="AE68" s="97"/>
      <c r="AF68" s="17"/>
      <c r="AG68" s="17"/>
      <c r="AH68" s="17"/>
    </row>
    <row r="69">
      <c r="A69" s="105" t="s">
        <v>11</v>
      </c>
      <c r="B69" s="17">
        <v>12.56281407035176</v>
      </c>
      <c r="C69" s="17">
        <v>10.050251256281408</v>
      </c>
      <c r="D69" s="17">
        <v>0.0</v>
      </c>
      <c r="E69" s="17">
        <v>12.56281407035176</v>
      </c>
      <c r="F69" s="17">
        <v>0.0</v>
      </c>
      <c r="G69" s="17">
        <v>15.07537688442211</v>
      </c>
      <c r="H69" s="17">
        <v>0.0</v>
      </c>
      <c r="I69" s="17">
        <v>10.050251256281408</v>
      </c>
      <c r="J69" s="17">
        <v>22.61306532663317</v>
      </c>
      <c r="K69" s="17">
        <v>22.61306532663317</v>
      </c>
      <c r="L69" s="17">
        <v>22.61306532663317</v>
      </c>
      <c r="M69" s="99">
        <v>0.0</v>
      </c>
      <c r="N69" s="99">
        <v>7.537688442211055</v>
      </c>
      <c r="O69" s="99">
        <v>85.42713567839195</v>
      </c>
      <c r="P69" s="99">
        <v>100.50251256281408</v>
      </c>
      <c r="Q69" s="99">
        <v>108.04020100502512</v>
      </c>
      <c r="R69" s="99">
        <v>100.50251256281408</v>
      </c>
      <c r="S69" s="17">
        <v>138.19095477386935</v>
      </c>
      <c r="T69" s="17">
        <v>0.0</v>
      </c>
      <c r="U69" s="17">
        <v>2.512562814070352</v>
      </c>
      <c r="V69" s="17">
        <v>40.20100502512563</v>
      </c>
      <c r="W69" s="17">
        <v>148.24120603015075</v>
      </c>
      <c r="X69" s="17">
        <v>288.94472361809045</v>
      </c>
      <c r="Y69" s="17">
        <v>5.025125628140704</v>
      </c>
      <c r="Z69" s="17">
        <v>7.537688442211055</v>
      </c>
      <c r="AA69" s="17">
        <v>163.31658291457288</v>
      </c>
      <c r="AB69" s="17">
        <v>311.5577889447236</v>
      </c>
      <c r="AC69" s="17"/>
      <c r="AD69" s="17"/>
      <c r="AE69" s="97"/>
      <c r="AF69" s="17"/>
      <c r="AG69" s="17"/>
      <c r="AH69" s="106"/>
    </row>
    <row r="70">
      <c r="A70" s="105" t="s">
        <v>12</v>
      </c>
      <c r="B70" s="17">
        <v>4.065040650406504</v>
      </c>
      <c r="C70" s="17">
        <v>4.065040650406504</v>
      </c>
      <c r="D70" s="17">
        <v>4.065040650406504</v>
      </c>
      <c r="E70" s="17">
        <v>8.130081300813009</v>
      </c>
      <c r="F70" s="17">
        <v>0.0</v>
      </c>
      <c r="G70" s="17">
        <v>4.065040650406504</v>
      </c>
      <c r="H70" s="17">
        <v>0.0</v>
      </c>
      <c r="I70" s="17">
        <v>0.0</v>
      </c>
      <c r="J70" s="17">
        <v>8.130081300813009</v>
      </c>
      <c r="K70" s="17">
        <v>8.130081300813009</v>
      </c>
      <c r="L70" s="17">
        <v>8.130081300813009</v>
      </c>
      <c r="M70" s="99">
        <v>0.0</v>
      </c>
      <c r="N70" s="99">
        <v>4.065040650406504</v>
      </c>
      <c r="O70" s="99">
        <v>77.23577235772358</v>
      </c>
      <c r="P70" s="99">
        <v>77.23577235772358</v>
      </c>
      <c r="Q70" s="99">
        <v>85.36585365853658</v>
      </c>
      <c r="R70" s="99">
        <v>77.23577235772358</v>
      </c>
      <c r="S70" s="17">
        <v>77.23577235772358</v>
      </c>
      <c r="T70" s="17">
        <v>4.065040650406504</v>
      </c>
      <c r="U70" s="17">
        <v>4.065040650406504</v>
      </c>
      <c r="V70" s="17">
        <v>8.130081300813009</v>
      </c>
      <c r="W70" s="17">
        <v>93.49593495934958</v>
      </c>
      <c r="X70" s="17">
        <v>186.9918699186992</v>
      </c>
      <c r="Y70" s="17">
        <v>0.0</v>
      </c>
      <c r="Z70" s="17">
        <v>0.0</v>
      </c>
      <c r="AA70" s="17">
        <v>109.7560975609756</v>
      </c>
      <c r="AB70" s="17">
        <v>203.2520325203252</v>
      </c>
      <c r="AC70" s="17"/>
      <c r="AD70" s="17"/>
      <c r="AE70" s="97"/>
      <c r="AF70" s="17"/>
      <c r="AG70" s="17"/>
      <c r="AH70" s="106"/>
    </row>
    <row r="71">
      <c r="A71" s="105" t="s">
        <v>13</v>
      </c>
      <c r="B71" s="17">
        <v>41.289023162134946</v>
      </c>
      <c r="C71" s="17">
        <v>28.197381671701912</v>
      </c>
      <c r="D71" s="17">
        <v>0.5035246727089627</v>
      </c>
      <c r="E71" s="17">
        <v>41.79254783484391</v>
      </c>
      <c r="F71" s="17">
        <v>1.0070493454179255</v>
      </c>
      <c r="G71" s="17">
        <v>32.72910372608258</v>
      </c>
      <c r="H71" s="17">
        <v>1.0070493454179255</v>
      </c>
      <c r="I71" s="17">
        <v>33.23262839879154</v>
      </c>
      <c r="J71" s="17">
        <v>73.0110775427996</v>
      </c>
      <c r="K71" s="17">
        <v>74.01812688821752</v>
      </c>
      <c r="L71" s="17">
        <v>75.02517623363545</v>
      </c>
      <c r="M71" s="99">
        <v>3.0211480362537766</v>
      </c>
      <c r="N71" s="99">
        <v>10.070493454179255</v>
      </c>
      <c r="O71" s="99">
        <v>124.87411883182276</v>
      </c>
      <c r="P71" s="99">
        <v>184.29003021148037</v>
      </c>
      <c r="Q71" s="99">
        <v>199.8992950654582</v>
      </c>
      <c r="R71" s="99">
        <v>188.31822759315207</v>
      </c>
      <c r="S71" s="17">
        <v>239.1742195367573</v>
      </c>
      <c r="T71" s="17">
        <v>6.545820745216516</v>
      </c>
      <c r="U71" s="17">
        <v>6.042296072507553</v>
      </c>
      <c r="V71" s="17">
        <v>67.472306143001</v>
      </c>
      <c r="W71" s="17">
        <v>267.3716012084592</v>
      </c>
      <c r="X71" s="17">
        <v>370.0906344410877</v>
      </c>
      <c r="Y71" s="17">
        <v>5.53877139979859</v>
      </c>
      <c r="Z71" s="17">
        <v>8.559919436052366</v>
      </c>
      <c r="AA71" s="17">
        <v>145.01510574018127</v>
      </c>
      <c r="AB71" s="17">
        <v>412.3867069486405</v>
      </c>
      <c r="AC71" s="17"/>
      <c r="AD71" s="17"/>
      <c r="AE71" s="97"/>
      <c r="AF71" s="17"/>
      <c r="AG71" s="17"/>
      <c r="AH71" s="106"/>
    </row>
    <row r="72">
      <c r="A72" s="105" t="s">
        <v>14</v>
      </c>
      <c r="B72" s="17">
        <v>28.009828009828013</v>
      </c>
      <c r="C72" s="17">
        <v>13.75921375921376</v>
      </c>
      <c r="D72" s="17">
        <v>0.9828009828009828</v>
      </c>
      <c r="E72" s="17">
        <v>28.992628992628994</v>
      </c>
      <c r="F72" s="17">
        <v>0.0</v>
      </c>
      <c r="G72" s="17">
        <v>0.0</v>
      </c>
      <c r="H72" s="17">
        <v>2.457002457002457</v>
      </c>
      <c r="I72" s="17">
        <v>36.85503685503686</v>
      </c>
      <c r="J72" s="17">
        <v>63.39066339066339</v>
      </c>
      <c r="K72" s="17">
        <v>63.39066339066339</v>
      </c>
      <c r="L72" s="17">
        <v>65.84766584766585</v>
      </c>
      <c r="M72" s="99">
        <v>0.4914004914004914</v>
      </c>
      <c r="N72" s="99">
        <v>12.285012285012284</v>
      </c>
      <c r="O72" s="99">
        <v>126.78132678132678</v>
      </c>
      <c r="P72" s="99">
        <v>176.41277641277642</v>
      </c>
      <c r="Q72" s="99">
        <v>192.62899262899265</v>
      </c>
      <c r="R72" s="99">
        <v>176.90417690417692</v>
      </c>
      <c r="S72" s="17">
        <v>219.16461916461918</v>
      </c>
      <c r="T72" s="17">
        <v>5.405405405405405</v>
      </c>
      <c r="U72" s="17">
        <v>10.319410319410318</v>
      </c>
      <c r="V72" s="17">
        <v>58.47665847665848</v>
      </c>
      <c r="W72" s="17">
        <v>251.10565110565113</v>
      </c>
      <c r="X72" s="17">
        <v>348.40294840294837</v>
      </c>
      <c r="Y72" s="17">
        <v>1.9656019656019657</v>
      </c>
      <c r="Z72" s="17">
        <v>17.690417690417693</v>
      </c>
      <c r="AA72" s="17">
        <v>148.8943488943489</v>
      </c>
      <c r="AB72" s="17">
        <v>400.0</v>
      </c>
      <c r="AC72" s="17"/>
      <c r="AD72" s="17"/>
      <c r="AE72" s="97"/>
      <c r="AF72" s="17"/>
      <c r="AG72" s="17"/>
      <c r="AH72" s="106"/>
    </row>
    <row r="73">
      <c r="A73" s="105" t="s">
        <v>15</v>
      </c>
      <c r="B73" s="17">
        <v>24.074074074074076</v>
      </c>
      <c r="C73" s="17">
        <v>10.185185185185187</v>
      </c>
      <c r="D73" s="17">
        <v>0.46296296296296297</v>
      </c>
      <c r="E73" s="17">
        <v>24.537037037037038</v>
      </c>
      <c r="F73" s="17">
        <v>0.0</v>
      </c>
      <c r="G73" s="17">
        <v>28.24074074074074</v>
      </c>
      <c r="H73" s="17">
        <v>3.2407407407407405</v>
      </c>
      <c r="I73" s="17">
        <v>25.925925925925924</v>
      </c>
      <c r="J73" s="17">
        <v>47.22222222222222</v>
      </c>
      <c r="K73" s="17">
        <v>47.22222222222222</v>
      </c>
      <c r="L73" s="17">
        <v>50.46296296296296</v>
      </c>
      <c r="M73" s="99">
        <v>0.0</v>
      </c>
      <c r="N73" s="99">
        <v>6.944444444444444</v>
      </c>
      <c r="O73" s="99">
        <v>137.96296296296296</v>
      </c>
      <c r="P73" s="99">
        <v>177.77777777777777</v>
      </c>
      <c r="Q73" s="99">
        <v>188.42592592592592</v>
      </c>
      <c r="R73" s="99">
        <v>177.77777777777777</v>
      </c>
      <c r="S73" s="17">
        <v>274.53703703703695</v>
      </c>
      <c r="T73" s="17">
        <v>0.46296296296296297</v>
      </c>
      <c r="U73" s="17">
        <v>1.8518518518518519</v>
      </c>
      <c r="V73" s="17">
        <v>99.07407407407408</v>
      </c>
      <c r="W73" s="17">
        <v>287.5</v>
      </c>
      <c r="X73" s="17">
        <v>460.18518518518505</v>
      </c>
      <c r="Y73" s="17">
        <v>2.314814814814815</v>
      </c>
      <c r="Z73" s="17">
        <v>4.166666666666667</v>
      </c>
      <c r="AA73" s="17">
        <v>192.12962962962962</v>
      </c>
      <c r="AB73" s="17">
        <v>479.6296296296296</v>
      </c>
      <c r="AC73" s="17"/>
      <c r="AD73" s="17"/>
      <c r="AE73" s="97"/>
      <c r="AF73" s="17"/>
      <c r="AG73" s="17"/>
      <c r="AH73" s="106"/>
    </row>
    <row r="74">
      <c r="A74" s="105" t="s">
        <v>16</v>
      </c>
      <c r="B74" s="17">
        <v>14.953271028037383</v>
      </c>
      <c r="C74" s="17">
        <v>5.607476635514018</v>
      </c>
      <c r="D74" s="17">
        <v>0.0</v>
      </c>
      <c r="E74" s="17">
        <v>14.953271028037383</v>
      </c>
      <c r="F74" s="17">
        <v>0.0</v>
      </c>
      <c r="G74" s="17">
        <v>20.560747663551403</v>
      </c>
      <c r="H74" s="17">
        <v>0.0</v>
      </c>
      <c r="I74" s="17">
        <v>14.953271028037383</v>
      </c>
      <c r="J74" s="17">
        <v>29.906542056074766</v>
      </c>
      <c r="K74" s="17">
        <v>29.906542056074766</v>
      </c>
      <c r="L74" s="17">
        <v>29.906542056074766</v>
      </c>
      <c r="M74" s="99">
        <v>0.0</v>
      </c>
      <c r="N74" s="99">
        <v>0.0</v>
      </c>
      <c r="O74" s="99">
        <v>136.44859813084113</v>
      </c>
      <c r="P74" s="99">
        <v>166.3551401869159</v>
      </c>
      <c r="Q74" s="99">
        <v>166.3551401869159</v>
      </c>
      <c r="R74" s="99">
        <v>166.3551401869159</v>
      </c>
      <c r="S74" s="17">
        <v>203.73831775700936</v>
      </c>
      <c r="T74" s="17">
        <v>0.0</v>
      </c>
      <c r="U74" s="17">
        <v>0.0</v>
      </c>
      <c r="V74" s="17">
        <v>37.38317757009346</v>
      </c>
      <c r="W74" s="17">
        <v>203.73831775700936</v>
      </c>
      <c r="X74" s="17">
        <v>398.13084112149534</v>
      </c>
      <c r="Y74" s="17">
        <v>0.0</v>
      </c>
      <c r="Z74" s="17">
        <v>0.0</v>
      </c>
      <c r="AA74" s="17">
        <v>194.39252336448598</v>
      </c>
      <c r="AB74" s="17">
        <v>398.13084112149534</v>
      </c>
      <c r="AC74" s="17"/>
      <c r="AD74" s="17"/>
      <c r="AE74" s="97"/>
      <c r="AF74" s="17"/>
      <c r="AG74" s="17"/>
      <c r="AH74" s="106"/>
    </row>
    <row r="75">
      <c r="A75" s="105" t="s">
        <v>17</v>
      </c>
      <c r="B75" s="17">
        <v>23.738872403560833</v>
      </c>
      <c r="C75" s="17">
        <v>8.902077151335313</v>
      </c>
      <c r="D75" s="17">
        <v>0.0</v>
      </c>
      <c r="E75" s="17">
        <v>23.738872403560833</v>
      </c>
      <c r="F75" s="17">
        <v>0.0</v>
      </c>
      <c r="G75" s="17">
        <v>47.47774480712167</v>
      </c>
      <c r="H75" s="17">
        <v>0.0</v>
      </c>
      <c r="I75" s="17">
        <v>14.836795252225519</v>
      </c>
      <c r="J75" s="17">
        <v>38.575667655786354</v>
      </c>
      <c r="K75" s="17">
        <v>38.575667655786354</v>
      </c>
      <c r="L75" s="17">
        <v>38.575667655786354</v>
      </c>
      <c r="M75" s="99">
        <v>0.0</v>
      </c>
      <c r="N75" s="99">
        <v>2.967359050445104</v>
      </c>
      <c r="O75" s="99">
        <v>118.69436201780415</v>
      </c>
      <c r="P75" s="99">
        <v>154.3026706231454</v>
      </c>
      <c r="Q75" s="99">
        <v>157.2700296735905</v>
      </c>
      <c r="R75" s="99">
        <v>154.3026706231454</v>
      </c>
      <c r="S75" s="17">
        <v>267.06231454005933</v>
      </c>
      <c r="T75" s="17">
        <v>0.0</v>
      </c>
      <c r="U75" s="17">
        <v>2.967359050445104</v>
      </c>
      <c r="V75" s="17">
        <v>115.72700296735906</v>
      </c>
      <c r="W75" s="17">
        <v>272.99703264094956</v>
      </c>
      <c r="X75" s="17">
        <v>391.69139465875367</v>
      </c>
      <c r="Y75" s="17">
        <v>5.934718100890208</v>
      </c>
      <c r="Z75" s="17">
        <v>0.0</v>
      </c>
      <c r="AA75" s="17">
        <v>130.56379821958458</v>
      </c>
      <c r="AB75" s="17">
        <v>403.5608308605341</v>
      </c>
      <c r="AC75" s="17"/>
      <c r="AD75" s="17"/>
      <c r="AE75" s="97"/>
      <c r="AF75" s="17"/>
      <c r="AG75" s="17"/>
      <c r="AH75" s="106"/>
    </row>
    <row r="76">
      <c r="A76" s="105" t="s">
        <v>18</v>
      </c>
      <c r="B76" s="17">
        <v>11.860386309725516</v>
      </c>
      <c r="C76" s="17">
        <v>3.049813622500847</v>
      </c>
      <c r="D76" s="17">
        <v>0.3388681802778719</v>
      </c>
      <c r="E76" s="17">
        <v>12.199254490003389</v>
      </c>
      <c r="F76" s="17">
        <v>0.0</v>
      </c>
      <c r="G76" s="17">
        <v>16.604540833615722</v>
      </c>
      <c r="H76" s="17">
        <v>0.0</v>
      </c>
      <c r="I76" s="17">
        <v>19.315486275838698</v>
      </c>
      <c r="J76" s="17">
        <v>31.514740765842085</v>
      </c>
      <c r="K76" s="17">
        <v>31.514740765842085</v>
      </c>
      <c r="L76" s="17">
        <v>31.514740765842085</v>
      </c>
      <c r="M76" s="99">
        <v>0.6777363605557438</v>
      </c>
      <c r="N76" s="99">
        <v>2.7109454422229753</v>
      </c>
      <c r="O76" s="99">
        <v>115.21518129447644</v>
      </c>
      <c r="P76" s="99">
        <v>143.00237207726195</v>
      </c>
      <c r="Q76" s="99">
        <v>146.72992206031853</v>
      </c>
      <c r="R76" s="99">
        <v>143.6801084378177</v>
      </c>
      <c r="S76" s="17">
        <v>181.97221280921724</v>
      </c>
      <c r="T76" s="17">
        <v>2.3720772619451034</v>
      </c>
      <c r="U76" s="17">
        <v>1.0166045408336157</v>
      </c>
      <c r="V76" s="17">
        <v>42.358522534733986</v>
      </c>
      <c r="W76" s="17">
        <v>189.08844459505252</v>
      </c>
      <c r="X76" s="17">
        <v>371.73839376482556</v>
      </c>
      <c r="Y76" s="17">
        <v>1.0166045408336157</v>
      </c>
      <c r="Z76" s="17">
        <v>0.6777363605557438</v>
      </c>
      <c r="AA76" s="17">
        <v>191.46052185699764</v>
      </c>
      <c r="AB76" s="17">
        <v>380.5489664520502</v>
      </c>
      <c r="AC76" s="17"/>
      <c r="AD76" s="17"/>
      <c r="AE76" s="97"/>
      <c r="AF76" s="17"/>
      <c r="AG76" s="17"/>
      <c r="AH76" s="106"/>
    </row>
    <row r="77">
      <c r="A77" s="105" t="s">
        <v>19</v>
      </c>
      <c r="B77" s="17">
        <v>19.230769230769234</v>
      </c>
      <c r="C77" s="17">
        <v>8.333333333333334</v>
      </c>
      <c r="D77" s="17">
        <v>0.0</v>
      </c>
      <c r="E77" s="17">
        <v>19.230769230769234</v>
      </c>
      <c r="F77" s="17">
        <v>0.6410256410256411</v>
      </c>
      <c r="G77" s="17">
        <v>21.794871794871792</v>
      </c>
      <c r="H77" s="17">
        <v>1.2820512820512822</v>
      </c>
      <c r="I77" s="17">
        <v>19.230769230769234</v>
      </c>
      <c r="J77" s="17">
        <v>36.53846153846154</v>
      </c>
      <c r="K77" s="17">
        <v>37.17948717948718</v>
      </c>
      <c r="L77" s="17">
        <v>38.46153846153847</v>
      </c>
      <c r="M77" s="99">
        <v>0.0</v>
      </c>
      <c r="N77" s="99">
        <v>7.051282051282051</v>
      </c>
      <c r="O77" s="99">
        <v>94.23076923076923</v>
      </c>
      <c r="P77" s="99">
        <v>123.71794871794872</v>
      </c>
      <c r="Q77" s="99">
        <v>132.69230769230768</v>
      </c>
      <c r="R77" s="99">
        <v>124.35897435897435</v>
      </c>
      <c r="S77" s="17">
        <v>148.71794871794873</v>
      </c>
      <c r="T77" s="17">
        <v>1.2820512820512822</v>
      </c>
      <c r="U77" s="17">
        <v>6.41025641025641</v>
      </c>
      <c r="V77" s="17">
        <v>32.69230769230769</v>
      </c>
      <c r="W77" s="17">
        <v>165.38461538461536</v>
      </c>
      <c r="X77" s="17">
        <v>261.53846153846155</v>
      </c>
      <c r="Y77" s="17">
        <v>3.205128205128205</v>
      </c>
      <c r="Z77" s="17">
        <v>5.769230769230769</v>
      </c>
      <c r="AA77" s="17">
        <v>121.7948717948718</v>
      </c>
      <c r="AB77" s="17">
        <v>287.1794871794872</v>
      </c>
      <c r="AC77" s="17"/>
      <c r="AD77" s="17"/>
      <c r="AE77" s="97"/>
      <c r="AF77" s="17"/>
      <c r="AG77" s="17"/>
      <c r="AH77" s="106"/>
    </row>
    <row r="78">
      <c r="A78" s="105" t="s">
        <v>20</v>
      </c>
      <c r="B78" s="17">
        <v>19.87083954297069</v>
      </c>
      <c r="C78" s="17">
        <v>12.419274714356682</v>
      </c>
      <c r="D78" s="17">
        <v>0.0</v>
      </c>
      <c r="E78" s="17">
        <v>19.87083954297069</v>
      </c>
      <c r="F78" s="17">
        <v>0.0</v>
      </c>
      <c r="G78" s="17">
        <v>18.877297565822158</v>
      </c>
      <c r="H78" s="17">
        <v>0.9935419771485345</v>
      </c>
      <c r="I78" s="17">
        <v>14.903129657228018</v>
      </c>
      <c r="J78" s="17">
        <v>33.780427223050175</v>
      </c>
      <c r="K78" s="17">
        <v>33.780427223050175</v>
      </c>
      <c r="L78" s="17">
        <v>34.77396920019871</v>
      </c>
      <c r="M78" s="99">
        <v>0.0</v>
      </c>
      <c r="N78" s="99">
        <v>5.961251862891207</v>
      </c>
      <c r="O78" s="99">
        <v>77.4962742175857</v>
      </c>
      <c r="P78" s="99">
        <v>105.31544957774466</v>
      </c>
      <c r="Q78" s="99">
        <v>112.2702434177844</v>
      </c>
      <c r="R78" s="99">
        <v>105.31544957774466</v>
      </c>
      <c r="S78" s="17">
        <v>117.23795330352708</v>
      </c>
      <c r="T78" s="17">
        <v>1.987083954297069</v>
      </c>
      <c r="U78" s="17">
        <v>5.46448087431694</v>
      </c>
      <c r="V78" s="17">
        <v>19.374068554396423</v>
      </c>
      <c r="W78" s="17">
        <v>131.64431197218082</v>
      </c>
      <c r="X78" s="17">
        <v>187.77943368107302</v>
      </c>
      <c r="Y78" s="17">
        <v>0.0</v>
      </c>
      <c r="Z78" s="17">
        <v>6.458022851465475</v>
      </c>
      <c r="AA78" s="17">
        <v>76.99950322901144</v>
      </c>
      <c r="AB78" s="17">
        <v>208.64381520119224</v>
      </c>
      <c r="AC78" s="17"/>
      <c r="AD78" s="17"/>
      <c r="AE78" s="97"/>
      <c r="AF78" s="17"/>
      <c r="AG78" s="17"/>
      <c r="AH78" s="106"/>
    </row>
    <row r="79">
      <c r="A79" s="105" t="s">
        <v>21</v>
      </c>
      <c r="B79" s="17">
        <v>6.240249609984399</v>
      </c>
      <c r="C79" s="17">
        <v>4.160166406656266</v>
      </c>
      <c r="D79" s="17">
        <v>0.0</v>
      </c>
      <c r="E79" s="17">
        <v>6.240249609984399</v>
      </c>
      <c r="F79" s="17">
        <v>0.0</v>
      </c>
      <c r="G79" s="17">
        <v>12.480499219968799</v>
      </c>
      <c r="H79" s="17">
        <v>4.160166406656266</v>
      </c>
      <c r="I79" s="17">
        <v>14.560582423296932</v>
      </c>
      <c r="J79" s="17">
        <v>16.640665626625065</v>
      </c>
      <c r="K79" s="17">
        <v>16.640665626625065</v>
      </c>
      <c r="L79" s="17">
        <v>20.80083203328133</v>
      </c>
      <c r="M79" s="99">
        <v>0.0</v>
      </c>
      <c r="N79" s="99">
        <v>6.240249609984399</v>
      </c>
      <c r="O79" s="99">
        <v>106.08424336973479</v>
      </c>
      <c r="P79" s="99">
        <v>116.48465938637545</v>
      </c>
      <c r="Q79" s="99">
        <v>126.88507540301612</v>
      </c>
      <c r="R79" s="99">
        <v>116.48465938637545</v>
      </c>
      <c r="S79" s="17">
        <v>122.72490899635983</v>
      </c>
      <c r="T79" s="17">
        <v>2.080083203328133</v>
      </c>
      <c r="U79" s="17">
        <v>0.0</v>
      </c>
      <c r="V79" s="17">
        <v>8.320332813312532</v>
      </c>
      <c r="W79" s="17">
        <v>135.20540821632864</v>
      </c>
      <c r="X79" s="17">
        <v>203.848153926157</v>
      </c>
      <c r="Y79" s="17">
        <v>2.080083203328133</v>
      </c>
      <c r="Z79" s="17">
        <v>2.080083203328133</v>
      </c>
      <c r="AA79" s="17">
        <v>85.28341133645345</v>
      </c>
      <c r="AB79" s="17">
        <v>220.4888195527821</v>
      </c>
      <c r="AC79" s="17"/>
      <c r="AD79" s="17"/>
      <c r="AE79" s="97"/>
      <c r="AF79" s="17"/>
      <c r="AG79" s="17"/>
      <c r="AH79" s="106"/>
    </row>
    <row r="80">
      <c r="A80" s="105" t="s">
        <v>22</v>
      </c>
      <c r="B80" s="17">
        <v>8.771929824561402</v>
      </c>
      <c r="C80" s="17">
        <v>3.654970760233918</v>
      </c>
      <c r="D80" s="17">
        <v>0.0</v>
      </c>
      <c r="E80" s="17">
        <v>8.771929824561402</v>
      </c>
      <c r="F80" s="17">
        <v>0.0</v>
      </c>
      <c r="G80" s="17">
        <v>8.771929824561402</v>
      </c>
      <c r="H80" s="17">
        <v>0.7309941520467835</v>
      </c>
      <c r="I80" s="17">
        <v>8.771929824561402</v>
      </c>
      <c r="J80" s="17">
        <v>16.81286549707602</v>
      </c>
      <c r="K80" s="17">
        <v>16.81286549707602</v>
      </c>
      <c r="L80" s="17">
        <v>17.543859649122805</v>
      </c>
      <c r="M80" s="99">
        <v>1.461988304093567</v>
      </c>
      <c r="N80" s="99">
        <v>6.578947368421052</v>
      </c>
      <c r="O80" s="99">
        <v>73.09941520467837</v>
      </c>
      <c r="P80" s="99">
        <v>81.87134502923976</v>
      </c>
      <c r="Q80" s="99">
        <v>90.64327485380117</v>
      </c>
      <c r="R80" s="99">
        <v>83.33333333333333</v>
      </c>
      <c r="S80" s="17">
        <v>111.1111111111111</v>
      </c>
      <c r="T80" s="17">
        <v>4.385964912280701</v>
      </c>
      <c r="U80" s="17">
        <v>3.654970760233918</v>
      </c>
      <c r="V80" s="17">
        <v>37.280701754385966</v>
      </c>
      <c r="W80" s="17">
        <v>127.92397660818713</v>
      </c>
      <c r="X80" s="17">
        <v>209.0643274853801</v>
      </c>
      <c r="Y80" s="17">
        <v>0.7309941520467835</v>
      </c>
      <c r="Z80" s="17">
        <v>9.502923976608187</v>
      </c>
      <c r="AA80" s="17">
        <v>108.18713450292397</v>
      </c>
      <c r="AB80" s="17">
        <v>236.1111111111111</v>
      </c>
      <c r="AC80" s="17"/>
      <c r="AD80" s="17"/>
      <c r="AE80" s="97"/>
      <c r="AF80" s="17"/>
      <c r="AG80" s="17"/>
      <c r="AH80" s="106"/>
    </row>
    <row r="81">
      <c r="A81" s="107" t="s">
        <v>23</v>
      </c>
      <c r="B81" s="99">
        <v>5.660377358490566</v>
      </c>
      <c r="C81" s="17">
        <v>5.660377358490566</v>
      </c>
      <c r="D81" s="99">
        <v>0.0</v>
      </c>
      <c r="E81" s="17">
        <v>5.660377358490566</v>
      </c>
      <c r="F81" s="17">
        <v>0.0</v>
      </c>
      <c r="G81" s="17">
        <v>5.660377358490566</v>
      </c>
      <c r="H81" s="17">
        <v>0.0</v>
      </c>
      <c r="I81" s="17">
        <v>7.547169811320755</v>
      </c>
      <c r="J81" s="17">
        <v>13.20754716981132</v>
      </c>
      <c r="K81" s="99">
        <v>13.20754716981132</v>
      </c>
      <c r="L81" s="17">
        <v>13.20754716981132</v>
      </c>
      <c r="M81" s="99">
        <v>1.8867924528301887</v>
      </c>
      <c r="N81" s="99">
        <v>3.7735849056603774</v>
      </c>
      <c r="O81" s="99">
        <v>71.69811320754717</v>
      </c>
      <c r="P81" s="99">
        <v>79.24528301886792</v>
      </c>
      <c r="Q81" s="99">
        <v>84.90566037735849</v>
      </c>
      <c r="R81" s="99">
        <v>81.13207547169812</v>
      </c>
      <c r="S81" s="17">
        <v>96.22641509433963</v>
      </c>
      <c r="T81" s="17">
        <v>3.7735849056603774</v>
      </c>
      <c r="U81" s="17">
        <v>5.660377358490566</v>
      </c>
      <c r="V81" s="17">
        <v>26.41509433962264</v>
      </c>
      <c r="W81" s="17">
        <v>111.32075471698113</v>
      </c>
      <c r="X81" s="17">
        <v>190.56603773584908</v>
      </c>
      <c r="Y81" s="17">
        <v>1.8867924528301887</v>
      </c>
      <c r="Z81" s="17">
        <v>0.0</v>
      </c>
      <c r="AA81" s="17">
        <v>96.22641509433963</v>
      </c>
      <c r="AB81" s="17">
        <v>207.54716981132077</v>
      </c>
      <c r="AC81" s="17"/>
      <c r="AD81" s="17"/>
      <c r="AE81" s="97"/>
      <c r="AF81" s="17"/>
      <c r="AG81" s="17"/>
      <c r="AH81" s="106"/>
    </row>
    <row r="82">
      <c r="A82" s="107" t="s">
        <v>24</v>
      </c>
      <c r="B82" s="99">
        <v>3.7105751391465676</v>
      </c>
      <c r="C82" s="17">
        <v>0.0</v>
      </c>
      <c r="D82" s="99">
        <v>0.0</v>
      </c>
      <c r="E82" s="17">
        <v>3.7105751391465676</v>
      </c>
      <c r="F82" s="17">
        <v>1.8552875695732838</v>
      </c>
      <c r="G82" s="17">
        <v>3.7105751391465676</v>
      </c>
      <c r="H82" s="17">
        <v>1.8552875695732838</v>
      </c>
      <c r="I82" s="17">
        <v>3.7105751391465676</v>
      </c>
      <c r="J82" s="17">
        <v>3.710575139146568</v>
      </c>
      <c r="K82" s="99">
        <v>5.565862708719852</v>
      </c>
      <c r="L82" s="17">
        <v>7.421150278293135</v>
      </c>
      <c r="M82" s="99">
        <v>0.0</v>
      </c>
      <c r="N82" s="99">
        <v>0.0</v>
      </c>
      <c r="O82" s="99">
        <v>66.79035250463822</v>
      </c>
      <c r="P82" s="99">
        <v>70.5009276437848</v>
      </c>
      <c r="Q82" s="99">
        <v>74.21150278293136</v>
      </c>
      <c r="R82" s="99">
        <v>72.35621521335808</v>
      </c>
      <c r="S82" s="17">
        <v>87.19851576994438</v>
      </c>
      <c r="T82" s="17">
        <v>1.8552875695732838</v>
      </c>
      <c r="U82" s="17">
        <v>1.8552875695732838</v>
      </c>
      <c r="V82" s="17">
        <v>20.408163265306122</v>
      </c>
      <c r="W82" s="17">
        <v>94.61966604823749</v>
      </c>
      <c r="X82" s="17">
        <v>187.38404452690173</v>
      </c>
      <c r="Y82" s="17">
        <v>1.8552875695732838</v>
      </c>
      <c r="Z82" s="17">
        <v>1.8552875695732838</v>
      </c>
      <c r="AA82" s="17">
        <v>103.89610389610391</v>
      </c>
      <c r="AB82" s="17">
        <v>198.5157699443414</v>
      </c>
      <c r="AC82" s="17"/>
      <c r="AD82" s="17"/>
      <c r="AE82" s="97"/>
      <c r="AF82" s="17"/>
      <c r="AG82" s="17"/>
      <c r="AH82" s="106"/>
    </row>
    <row r="83">
      <c r="A83" s="108" t="s">
        <v>25</v>
      </c>
      <c r="B83" s="99">
        <v>5.994358251057828</v>
      </c>
      <c r="C83" s="99">
        <v>3.173483779971791</v>
      </c>
      <c r="D83" s="99">
        <v>0.0</v>
      </c>
      <c r="E83" s="99">
        <v>5.994358251057828</v>
      </c>
      <c r="F83" s="99">
        <v>0.0</v>
      </c>
      <c r="G83" s="99">
        <v>4.583921015514809</v>
      </c>
      <c r="H83" s="99">
        <v>1.0578279266572639</v>
      </c>
      <c r="I83" s="99">
        <v>5.289139633286318</v>
      </c>
      <c r="J83" s="99">
        <v>10.225669957686883</v>
      </c>
      <c r="K83" s="99">
        <v>10.225669957686883</v>
      </c>
      <c r="L83" s="99">
        <v>11.283497884344147</v>
      </c>
      <c r="M83" s="99">
        <v>0.0</v>
      </c>
      <c r="N83" s="99">
        <v>0.3526093088857546</v>
      </c>
      <c r="O83" s="99">
        <v>56.77009873060649</v>
      </c>
      <c r="P83" s="99">
        <v>66.6431593794076</v>
      </c>
      <c r="Q83" s="99">
        <v>68.05359661495064</v>
      </c>
      <c r="R83" s="99">
        <v>66.6431593794076</v>
      </c>
      <c r="S83" s="99">
        <v>77.92665726375175</v>
      </c>
      <c r="T83" s="99">
        <v>1.4104372355430184</v>
      </c>
      <c r="U83" s="99">
        <v>1.0578279266572639</v>
      </c>
      <c r="V83" s="99">
        <v>13.751763046544427</v>
      </c>
      <c r="W83" s="99">
        <v>81.80535966149506</v>
      </c>
      <c r="X83" s="99">
        <v>187.58815232722145</v>
      </c>
      <c r="Y83" s="99">
        <v>1.763046544428773</v>
      </c>
      <c r="Z83" s="99">
        <v>0.3526093088857546</v>
      </c>
      <c r="AA83" s="99">
        <v>111.77715091678421</v>
      </c>
      <c r="AB83" s="99">
        <v>193.58251057827925</v>
      </c>
      <c r="AC83" s="106"/>
      <c r="AD83" s="106"/>
      <c r="AE83" s="106"/>
      <c r="AF83" s="106"/>
      <c r="AG83" s="106"/>
      <c r="AH83" s="106"/>
    </row>
    <row r="84">
      <c r="A84" s="108" t="s">
        <v>26</v>
      </c>
      <c r="B84" s="99">
        <v>2.680965147453083</v>
      </c>
      <c r="C84" s="99">
        <v>2.0107238605898123</v>
      </c>
      <c r="D84" s="99">
        <v>0.0</v>
      </c>
      <c r="E84" s="99">
        <v>2.680965147453083</v>
      </c>
      <c r="F84" s="99">
        <v>0.0</v>
      </c>
      <c r="G84" s="99">
        <v>5.361930294906166</v>
      </c>
      <c r="H84" s="99">
        <v>0.0</v>
      </c>
      <c r="I84" s="99">
        <v>4.6916890080428955</v>
      </c>
      <c r="J84" s="99">
        <v>7.372654155495979</v>
      </c>
      <c r="K84" s="99">
        <v>7.372654155495979</v>
      </c>
      <c r="L84" s="99">
        <v>7.372654155495979</v>
      </c>
      <c r="M84" s="99">
        <v>0.0</v>
      </c>
      <c r="N84" s="99">
        <v>1.3404825737265416</v>
      </c>
      <c r="O84" s="99">
        <v>46.24664879356569</v>
      </c>
      <c r="P84" s="99">
        <v>52.27882037533513</v>
      </c>
      <c r="Q84" s="99">
        <v>53.61930294906167</v>
      </c>
      <c r="R84" s="99">
        <v>52.27882037533513</v>
      </c>
      <c r="S84" s="99">
        <v>53.61930294906167</v>
      </c>
      <c r="T84" s="99">
        <v>0.0</v>
      </c>
      <c r="U84" s="99">
        <v>0.6702412868632708</v>
      </c>
      <c r="V84" s="99">
        <v>2.0107238605898123</v>
      </c>
      <c r="W84" s="99">
        <v>55.63002680965148</v>
      </c>
      <c r="X84" s="99">
        <v>143.43163538873995</v>
      </c>
      <c r="Y84" s="99">
        <v>0.6702412868632708</v>
      </c>
      <c r="Z84" s="99">
        <v>2.0107238605898123</v>
      </c>
      <c r="AA84" s="99">
        <v>92.49329758713138</v>
      </c>
      <c r="AB84" s="99">
        <v>148.12332439678286</v>
      </c>
      <c r="AC84" s="106"/>
      <c r="AD84" s="106"/>
      <c r="AE84" s="106"/>
      <c r="AF84" s="106"/>
      <c r="AG84" s="106"/>
      <c r="AH84" s="106"/>
    </row>
    <row r="85">
      <c r="A85" s="108" t="s">
        <v>27</v>
      </c>
      <c r="B85" s="99">
        <v>1.1055831951354338</v>
      </c>
      <c r="C85" s="99">
        <v>0.3685277317118113</v>
      </c>
      <c r="D85" s="99">
        <v>0.3685277317118113</v>
      </c>
      <c r="E85" s="99">
        <v>1.4741109268472452</v>
      </c>
      <c r="F85" s="99">
        <v>0.0</v>
      </c>
      <c r="G85" s="99">
        <v>5.896443707388981</v>
      </c>
      <c r="H85" s="99">
        <v>0.0</v>
      </c>
      <c r="I85" s="99">
        <v>3.6852773171181132</v>
      </c>
      <c r="J85" s="99">
        <v>5.159388243965358</v>
      </c>
      <c r="K85" s="99">
        <v>5.159388243965358</v>
      </c>
      <c r="L85" s="99">
        <v>5.159388243965358</v>
      </c>
      <c r="M85" s="99">
        <v>0.0</v>
      </c>
      <c r="N85" s="99">
        <v>1.1055831951354338</v>
      </c>
      <c r="O85" s="99">
        <v>39.43246729316381</v>
      </c>
      <c r="P85" s="99">
        <v>43.11774461028193</v>
      </c>
      <c r="Q85" s="99">
        <v>44.59185553712917</v>
      </c>
      <c r="R85" s="99">
        <v>43.11774461028193</v>
      </c>
      <c r="S85" s="99">
        <v>47.54007739082367</v>
      </c>
      <c r="T85" s="99">
        <v>0.0</v>
      </c>
      <c r="U85" s="99">
        <v>1.1055831951354338</v>
      </c>
      <c r="V85" s="99">
        <v>5.527915975677169</v>
      </c>
      <c r="W85" s="99">
        <v>50.11977151280634</v>
      </c>
      <c r="X85" s="99">
        <v>117.92887414777961</v>
      </c>
      <c r="Y85" s="99">
        <v>0.0</v>
      </c>
      <c r="Z85" s="99">
        <v>0.0</v>
      </c>
      <c r="AA85" s="99">
        <v>70.38879675695595</v>
      </c>
      <c r="AB85" s="99">
        <v>120.50856826976229</v>
      </c>
      <c r="AC85" s="106"/>
      <c r="AD85" s="106"/>
      <c r="AE85" s="106"/>
      <c r="AF85" s="106"/>
      <c r="AG85" s="106"/>
      <c r="AH85" s="106"/>
    </row>
    <row r="86">
      <c r="A86" s="107" t="s">
        <v>28</v>
      </c>
      <c r="B86" s="99">
        <v>2.5999350016249596</v>
      </c>
      <c r="C86" s="99">
        <v>2.5999350016249596</v>
      </c>
      <c r="D86" s="99">
        <v>0.0</v>
      </c>
      <c r="E86" s="99">
        <v>2.5999350016249596</v>
      </c>
      <c r="F86" s="99">
        <v>0.0</v>
      </c>
      <c r="G86" s="99">
        <v>0.0</v>
      </c>
      <c r="H86" s="99">
        <v>0.0</v>
      </c>
      <c r="I86" s="99">
        <v>0.0</v>
      </c>
      <c r="J86" s="99">
        <v>2.5999350016249596</v>
      </c>
      <c r="K86" s="99">
        <v>2.5999350016249596</v>
      </c>
      <c r="L86" s="99">
        <v>2.5999350016249596</v>
      </c>
      <c r="M86" s="99">
        <v>0.0</v>
      </c>
      <c r="N86" s="99">
        <v>1.2999675008124798</v>
      </c>
      <c r="O86" s="99">
        <v>41.598960025999354</v>
      </c>
      <c r="P86" s="99">
        <v>42.89892752681183</v>
      </c>
      <c r="Q86" s="99">
        <v>44.19889502762431</v>
      </c>
      <c r="R86" s="99">
        <v>42.89892752681183</v>
      </c>
      <c r="S86" s="99">
        <v>44.19889502762431</v>
      </c>
      <c r="T86" s="99">
        <v>0.0</v>
      </c>
      <c r="U86" s="99">
        <v>0.0</v>
      </c>
      <c r="V86" s="99">
        <v>1.2999675008124798</v>
      </c>
      <c r="W86" s="99">
        <v>45.49886252843679</v>
      </c>
      <c r="X86" s="99">
        <v>115.69710757231068</v>
      </c>
      <c r="Y86" s="99">
        <v>0.0</v>
      </c>
      <c r="Z86" s="99">
        <v>0.0</v>
      </c>
      <c r="AA86" s="99">
        <v>71.49821254468638</v>
      </c>
      <c r="AB86" s="99">
        <v>116.99707507312317</v>
      </c>
      <c r="AC86" s="106"/>
      <c r="AD86" s="106"/>
      <c r="AE86" s="106"/>
      <c r="AF86" s="106"/>
      <c r="AG86" s="106"/>
      <c r="AH86" s="106"/>
    </row>
    <row r="87">
      <c r="A87" s="107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</row>
    <row r="88">
      <c r="A88" s="108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106"/>
      <c r="AD88" s="106"/>
      <c r="AE88" s="106"/>
      <c r="AF88" s="106"/>
      <c r="AG88" s="106"/>
      <c r="AH88" s="106"/>
    </row>
    <row r="89">
      <c r="A89" s="107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</row>
    <row r="90">
      <c r="A90" s="107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</row>
    <row r="91">
      <c r="A91" s="107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</row>
    <row r="92">
      <c r="A92" s="107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</row>
    <row r="93">
      <c r="A93" s="107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</row>
    <row r="94">
      <c r="A94" s="107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</row>
    <row r="95">
      <c r="A95" s="107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</row>
    <row r="96">
      <c r="A96" s="107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</row>
    <row r="97">
      <c r="A97" s="107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</row>
    <row r="98">
      <c r="A98" s="107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</row>
    <row r="99">
      <c r="A99" s="107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</row>
    <row r="100">
      <c r="A100" s="107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</row>
    <row r="101">
      <c r="A101" s="107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</row>
    <row r="102">
      <c r="A102" s="107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</row>
    <row r="103">
      <c r="A103" s="107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</row>
    <row r="104">
      <c r="A104" s="107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</row>
    <row r="105">
      <c r="A105" s="107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</row>
    <row r="106">
      <c r="A106" s="107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</row>
    <row r="107">
      <c r="A107" s="107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</row>
    <row r="108">
      <c r="A108" s="107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</row>
    <row r="109">
      <c r="A109" s="107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</row>
    <row r="110">
      <c r="A110" s="107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</row>
    <row r="111">
      <c r="A111" s="107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</row>
    <row r="112">
      <c r="A112" s="107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</row>
    <row r="113">
      <c r="A113" s="107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</row>
    <row r="114">
      <c r="A114" s="107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</row>
    <row r="115">
      <c r="A115" s="107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</row>
    <row r="116">
      <c r="A116" s="107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</row>
    <row r="117">
      <c r="A117" s="107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</row>
    <row r="118">
      <c r="A118" s="107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</row>
    <row r="119">
      <c r="A119" s="107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</row>
    <row r="120">
      <c r="A120" s="107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</row>
    <row r="121">
      <c r="A121" s="107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</row>
    <row r="122">
      <c r="A122" s="107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</row>
    <row r="123">
      <c r="A123" s="107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</row>
    <row r="124">
      <c r="A124" s="107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</row>
    <row r="125">
      <c r="A125" s="107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</row>
    <row r="126">
      <c r="A126" s="107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</row>
    <row r="127">
      <c r="A127" s="107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</row>
    <row r="128">
      <c r="A128" s="107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</row>
    <row r="129">
      <c r="A129" s="107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</row>
    <row r="130">
      <c r="A130" s="107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</row>
    <row r="131">
      <c r="A131" s="107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</row>
    <row r="132">
      <c r="A132" s="107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</row>
    <row r="133">
      <c r="A133" s="107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</row>
    <row r="134">
      <c r="A134" s="107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</row>
    <row r="135">
      <c r="A135" s="107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</row>
    <row r="136">
      <c r="A136" s="107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</row>
    <row r="137">
      <c r="A137" s="107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</row>
    <row r="138">
      <c r="A138" s="107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</row>
    <row r="139">
      <c r="A139" s="107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</row>
    <row r="140">
      <c r="A140" s="107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</row>
    <row r="141">
      <c r="A141" s="107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</row>
    <row r="142">
      <c r="A142" s="107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</row>
    <row r="143">
      <c r="A143" s="107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</row>
    <row r="144">
      <c r="A144" s="107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</row>
    <row r="145">
      <c r="A145" s="107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</row>
    <row r="146">
      <c r="A146" s="107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</row>
    <row r="147">
      <c r="A147" s="107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</row>
    <row r="148">
      <c r="A148" s="107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</row>
    <row r="149">
      <c r="A149" s="107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</row>
    <row r="150">
      <c r="A150" s="107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</row>
    <row r="151">
      <c r="A151" s="107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</row>
    <row r="152">
      <c r="A152" s="107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</row>
    <row r="153">
      <c r="A153" s="107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</row>
    <row r="154">
      <c r="A154" s="107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</row>
    <row r="155">
      <c r="A155" s="107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</row>
    <row r="156">
      <c r="A156" s="107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</row>
    <row r="157">
      <c r="A157" s="107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</row>
    <row r="158">
      <c r="A158" s="107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</row>
    <row r="159">
      <c r="A159" s="107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</row>
    <row r="160">
      <c r="A160" s="107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</row>
    <row r="161">
      <c r="A161" s="107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</row>
    <row r="162">
      <c r="A162" s="107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</row>
    <row r="163">
      <c r="A163" s="107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</row>
    <row r="164">
      <c r="A164" s="107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</row>
    <row r="165">
      <c r="A165" s="107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</row>
    <row r="166">
      <c r="A166" s="107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</row>
    <row r="167">
      <c r="A167" s="107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</row>
    <row r="168">
      <c r="A168" s="107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</row>
    <row r="169">
      <c r="A169" s="107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</row>
    <row r="170">
      <c r="A170" s="107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</row>
    <row r="171">
      <c r="A171" s="107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</row>
    <row r="172">
      <c r="A172" s="107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</row>
    <row r="173">
      <c r="A173" s="107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</row>
    <row r="174">
      <c r="A174" s="107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</row>
    <row r="175">
      <c r="A175" s="107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</row>
    <row r="176">
      <c r="A176" s="107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</row>
    <row r="177">
      <c r="A177" s="107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</row>
    <row r="178">
      <c r="A178" s="107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</row>
    <row r="179">
      <c r="A179" s="107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</row>
    <row r="180">
      <c r="A180" s="107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</row>
    <row r="181">
      <c r="A181" s="107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</row>
    <row r="182">
      <c r="A182" s="107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</row>
    <row r="183">
      <c r="A183" s="107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</row>
    <row r="184">
      <c r="A184" s="107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</row>
    <row r="185">
      <c r="A185" s="107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</row>
    <row r="186">
      <c r="A186" s="107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</row>
    <row r="187">
      <c r="A187" s="107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</row>
    <row r="188">
      <c r="A188" s="107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</row>
    <row r="189">
      <c r="A189" s="107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</row>
    <row r="190">
      <c r="A190" s="107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</row>
    <row r="191">
      <c r="A191" s="107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</row>
    <row r="192">
      <c r="A192" s="107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</row>
    <row r="193">
      <c r="A193" s="107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</row>
    <row r="194">
      <c r="A194" s="107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</row>
    <row r="195">
      <c r="A195" s="107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</row>
    <row r="196">
      <c r="A196" s="107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</row>
    <row r="197">
      <c r="A197" s="107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</row>
    <row r="198">
      <c r="A198" s="107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</row>
    <row r="199">
      <c r="A199" s="107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</row>
    <row r="200">
      <c r="A200" s="107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</row>
    <row r="201">
      <c r="A201" s="107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</row>
    <row r="202">
      <c r="A202" s="107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</row>
    <row r="203">
      <c r="A203" s="107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</row>
    <row r="204">
      <c r="A204" s="107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</row>
    <row r="205">
      <c r="A205" s="107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</row>
    <row r="206">
      <c r="A206" s="107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</row>
    <row r="207">
      <c r="A207" s="107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</row>
    <row r="208">
      <c r="A208" s="107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</row>
    <row r="209">
      <c r="A209" s="107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</row>
    <row r="210">
      <c r="A210" s="107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</row>
    <row r="211">
      <c r="A211" s="107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</row>
    <row r="212">
      <c r="A212" s="107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</row>
    <row r="213">
      <c r="A213" s="107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</row>
    <row r="214">
      <c r="A214" s="107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</row>
    <row r="215">
      <c r="A215" s="107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</row>
    <row r="216">
      <c r="A216" s="107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</row>
    <row r="217">
      <c r="A217" s="107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</row>
    <row r="218">
      <c r="A218" s="107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</row>
    <row r="219">
      <c r="A219" s="107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</row>
    <row r="220">
      <c r="A220" s="107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</row>
    <row r="221">
      <c r="A221" s="107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</row>
    <row r="222">
      <c r="A222" s="107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</row>
    <row r="223">
      <c r="A223" s="107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</row>
    <row r="224">
      <c r="A224" s="107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</row>
    <row r="225">
      <c r="A225" s="107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</row>
    <row r="226">
      <c r="A226" s="107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</row>
    <row r="227">
      <c r="A227" s="107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</row>
    <row r="228">
      <c r="A228" s="107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</row>
    <row r="229">
      <c r="A229" s="107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</row>
    <row r="230">
      <c r="A230" s="107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</row>
    <row r="231">
      <c r="A231" s="107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</row>
    <row r="232">
      <c r="A232" s="107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</row>
    <row r="233">
      <c r="A233" s="107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</row>
    <row r="234">
      <c r="A234" s="107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</row>
    <row r="235">
      <c r="A235" s="107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</row>
    <row r="236">
      <c r="A236" s="107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</row>
    <row r="237">
      <c r="A237" s="107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</row>
    <row r="238">
      <c r="A238" s="107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</row>
    <row r="239">
      <c r="A239" s="107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</row>
    <row r="240">
      <c r="A240" s="107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</row>
    <row r="241">
      <c r="A241" s="107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</row>
    <row r="242">
      <c r="A242" s="107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</row>
    <row r="243">
      <c r="A243" s="107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</row>
    <row r="244">
      <c r="A244" s="107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</row>
    <row r="245">
      <c r="A245" s="107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</row>
    <row r="246">
      <c r="A246" s="107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</row>
    <row r="247">
      <c r="A247" s="107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</row>
    <row r="248">
      <c r="A248" s="107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</row>
    <row r="249">
      <c r="A249" s="107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</row>
    <row r="250">
      <c r="A250" s="107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</row>
    <row r="251">
      <c r="A251" s="107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</row>
    <row r="252">
      <c r="A252" s="107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</row>
    <row r="253">
      <c r="A253" s="107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</row>
    <row r="254">
      <c r="A254" s="107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</row>
    <row r="255">
      <c r="A255" s="107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</row>
    <row r="256">
      <c r="A256" s="107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</row>
    <row r="257">
      <c r="A257" s="107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</row>
    <row r="258">
      <c r="A258" s="107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</row>
    <row r="259">
      <c r="A259" s="107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</row>
    <row r="260">
      <c r="A260" s="107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</row>
    <row r="261">
      <c r="A261" s="107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</row>
    <row r="262">
      <c r="A262" s="107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</row>
    <row r="263">
      <c r="A263" s="107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</row>
    <row r="264">
      <c r="A264" s="107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</row>
    <row r="265">
      <c r="A265" s="107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</row>
    <row r="266">
      <c r="A266" s="107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</row>
    <row r="267">
      <c r="A267" s="107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</row>
    <row r="268">
      <c r="A268" s="107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</row>
    <row r="269">
      <c r="A269" s="107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</row>
    <row r="270">
      <c r="A270" s="107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</row>
    <row r="271">
      <c r="A271" s="107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</row>
    <row r="272">
      <c r="A272" s="107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</row>
    <row r="273">
      <c r="A273" s="107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</row>
    <row r="274">
      <c r="A274" s="107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</row>
    <row r="275">
      <c r="A275" s="107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</row>
    <row r="276">
      <c r="A276" s="107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</row>
    <row r="277">
      <c r="A277" s="107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</row>
    <row r="278">
      <c r="A278" s="107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</row>
    <row r="279">
      <c r="A279" s="107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</row>
    <row r="280">
      <c r="A280" s="107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</row>
    <row r="281">
      <c r="A281" s="107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</row>
    <row r="282">
      <c r="A282" s="107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</row>
    <row r="283">
      <c r="A283" s="107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</row>
    <row r="284">
      <c r="A284" s="107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</row>
    <row r="285">
      <c r="A285" s="107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</row>
    <row r="286">
      <c r="A286" s="107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</row>
    <row r="287">
      <c r="A287" s="107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</row>
    <row r="288">
      <c r="A288" s="107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</row>
    <row r="289">
      <c r="A289" s="107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</row>
    <row r="290">
      <c r="A290" s="107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</row>
    <row r="291">
      <c r="A291" s="107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</row>
    <row r="292">
      <c r="A292" s="107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</row>
    <row r="293">
      <c r="A293" s="107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</row>
    <row r="294">
      <c r="A294" s="107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</row>
    <row r="295">
      <c r="A295" s="107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</row>
    <row r="296">
      <c r="A296" s="107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</row>
    <row r="297">
      <c r="A297" s="107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</row>
    <row r="298">
      <c r="A298" s="107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</row>
    <row r="299">
      <c r="A299" s="107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</row>
    <row r="300">
      <c r="A300" s="107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</row>
    <row r="301">
      <c r="A301" s="107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</row>
    <row r="302">
      <c r="A302" s="107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</row>
    <row r="303">
      <c r="A303" s="107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</row>
    <row r="304">
      <c r="A304" s="107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</row>
    <row r="305">
      <c r="A305" s="107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</row>
    <row r="306">
      <c r="A306" s="107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</row>
    <row r="307">
      <c r="A307" s="107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</row>
    <row r="308">
      <c r="A308" s="107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</row>
    <row r="309">
      <c r="A309" s="107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</row>
    <row r="310">
      <c r="A310" s="107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</row>
    <row r="311">
      <c r="A311" s="107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</row>
    <row r="312">
      <c r="A312" s="107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</row>
    <row r="313">
      <c r="A313" s="107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</row>
    <row r="314">
      <c r="A314" s="107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</row>
    <row r="315">
      <c r="A315" s="107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</row>
    <row r="316">
      <c r="A316" s="107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</row>
    <row r="317">
      <c r="A317" s="107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</row>
    <row r="318">
      <c r="A318" s="107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</row>
    <row r="319">
      <c r="A319" s="107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</row>
    <row r="320">
      <c r="A320" s="107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</row>
    <row r="321">
      <c r="A321" s="107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</row>
    <row r="322">
      <c r="A322" s="107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</row>
    <row r="323">
      <c r="A323" s="107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</row>
    <row r="324">
      <c r="A324" s="107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</row>
    <row r="325">
      <c r="A325" s="107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</row>
    <row r="326">
      <c r="A326" s="107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</row>
    <row r="327">
      <c r="A327" s="107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</row>
    <row r="328">
      <c r="A328" s="107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</row>
    <row r="329">
      <c r="A329" s="107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</row>
    <row r="330">
      <c r="A330" s="107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</row>
    <row r="331">
      <c r="A331" s="107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</row>
    <row r="332">
      <c r="A332" s="107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</row>
    <row r="333">
      <c r="A333" s="107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</row>
    <row r="334">
      <c r="A334" s="107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</row>
    <row r="335">
      <c r="A335" s="107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</row>
    <row r="336">
      <c r="A336" s="107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</row>
    <row r="337">
      <c r="A337" s="107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</row>
    <row r="338">
      <c r="A338" s="107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</row>
    <row r="339">
      <c r="A339" s="107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</row>
    <row r="340">
      <c r="A340" s="107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</row>
    <row r="341">
      <c r="A341" s="107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</row>
    <row r="342">
      <c r="A342" s="107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</row>
    <row r="343">
      <c r="A343" s="107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</row>
    <row r="344">
      <c r="A344" s="107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</row>
    <row r="345">
      <c r="A345" s="107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</row>
    <row r="346">
      <c r="A346" s="107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</row>
    <row r="347">
      <c r="A347" s="107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</row>
    <row r="348">
      <c r="A348" s="107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</row>
    <row r="349">
      <c r="A349" s="107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</row>
    <row r="350">
      <c r="A350" s="107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</row>
    <row r="351">
      <c r="A351" s="107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</row>
    <row r="352">
      <c r="A352" s="107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</row>
    <row r="353">
      <c r="A353" s="107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</row>
    <row r="354">
      <c r="A354" s="107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</row>
    <row r="355">
      <c r="A355" s="107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</row>
    <row r="356">
      <c r="A356" s="107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</row>
    <row r="357">
      <c r="A357" s="107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</row>
    <row r="358">
      <c r="A358" s="107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</row>
    <row r="359">
      <c r="A359" s="107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</row>
    <row r="360">
      <c r="A360" s="107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</row>
    <row r="361">
      <c r="A361" s="107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</row>
    <row r="362">
      <c r="A362" s="107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</row>
    <row r="363">
      <c r="A363" s="107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</row>
    <row r="364">
      <c r="A364" s="107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</row>
    <row r="365">
      <c r="A365" s="107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</row>
    <row r="366">
      <c r="A366" s="107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</row>
    <row r="367">
      <c r="A367" s="107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</row>
    <row r="368">
      <c r="A368" s="107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</row>
    <row r="369">
      <c r="A369" s="107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</row>
    <row r="370">
      <c r="A370" s="107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</row>
    <row r="371">
      <c r="A371" s="107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</row>
    <row r="372">
      <c r="A372" s="107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</row>
    <row r="373">
      <c r="A373" s="107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</row>
    <row r="374">
      <c r="A374" s="107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</row>
    <row r="375">
      <c r="A375" s="107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</row>
    <row r="376">
      <c r="A376" s="107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</row>
    <row r="377">
      <c r="A377" s="107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</row>
    <row r="378">
      <c r="A378" s="107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</row>
    <row r="379">
      <c r="A379" s="107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</row>
    <row r="380">
      <c r="A380" s="107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</row>
    <row r="381">
      <c r="A381" s="107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</row>
    <row r="382">
      <c r="A382" s="107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</row>
    <row r="383">
      <c r="A383" s="107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</row>
    <row r="384">
      <c r="A384" s="107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</row>
    <row r="385">
      <c r="A385" s="107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</row>
    <row r="386">
      <c r="A386" s="107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</row>
    <row r="387">
      <c r="A387" s="107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</row>
    <row r="388">
      <c r="A388" s="107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</row>
    <row r="389">
      <c r="A389" s="107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</row>
    <row r="390">
      <c r="A390" s="107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</row>
    <row r="391">
      <c r="A391" s="107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</row>
    <row r="392">
      <c r="A392" s="107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</row>
    <row r="393">
      <c r="A393" s="107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</row>
    <row r="394">
      <c r="A394" s="107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</row>
    <row r="395">
      <c r="A395" s="107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</row>
    <row r="396">
      <c r="A396" s="107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</row>
    <row r="397">
      <c r="A397" s="107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</row>
    <row r="398">
      <c r="A398" s="107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</row>
    <row r="399">
      <c r="A399" s="107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</row>
    <row r="400">
      <c r="A400" s="107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</row>
    <row r="401">
      <c r="A401" s="107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</row>
    <row r="402">
      <c r="A402" s="107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</row>
    <row r="403">
      <c r="A403" s="107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</row>
    <row r="404">
      <c r="A404" s="107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</row>
    <row r="405">
      <c r="A405" s="107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</row>
    <row r="406">
      <c r="A406" s="107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</row>
    <row r="407">
      <c r="A407" s="107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</row>
    <row r="408">
      <c r="A408" s="107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</row>
    <row r="409">
      <c r="A409" s="107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</row>
    <row r="410">
      <c r="A410" s="107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</row>
    <row r="411">
      <c r="A411" s="107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</row>
    <row r="412">
      <c r="A412" s="107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</row>
    <row r="413">
      <c r="A413" s="107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</row>
    <row r="414">
      <c r="A414" s="107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</row>
    <row r="415">
      <c r="A415" s="107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</row>
    <row r="416">
      <c r="A416" s="107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</row>
    <row r="417">
      <c r="A417" s="107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</row>
    <row r="418">
      <c r="A418" s="107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</row>
    <row r="419">
      <c r="A419" s="107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</row>
    <row r="420">
      <c r="A420" s="107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</row>
    <row r="421">
      <c r="A421" s="107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</row>
    <row r="422">
      <c r="A422" s="107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</row>
    <row r="423">
      <c r="A423" s="107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</row>
    <row r="424">
      <c r="A424" s="107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</row>
    <row r="425">
      <c r="A425" s="107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</row>
    <row r="426">
      <c r="A426" s="107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</row>
    <row r="427">
      <c r="A427" s="107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</row>
    <row r="428">
      <c r="A428" s="107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</row>
    <row r="429">
      <c r="A429" s="107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</row>
    <row r="430">
      <c r="A430" s="107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</row>
    <row r="431">
      <c r="A431" s="107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</row>
    <row r="432">
      <c r="A432" s="107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</row>
    <row r="433">
      <c r="A433" s="107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</row>
    <row r="434">
      <c r="A434" s="107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</row>
    <row r="435">
      <c r="A435" s="107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</row>
    <row r="436">
      <c r="A436" s="107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</row>
    <row r="437">
      <c r="A437" s="107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</row>
    <row r="438">
      <c r="A438" s="107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</row>
    <row r="439">
      <c r="A439" s="107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</row>
    <row r="440">
      <c r="A440" s="107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</row>
    <row r="441">
      <c r="A441" s="107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</row>
    <row r="442">
      <c r="A442" s="107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</row>
    <row r="443">
      <c r="A443" s="107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</row>
    <row r="444">
      <c r="A444" s="107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</row>
    <row r="445">
      <c r="A445" s="107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</row>
    <row r="446">
      <c r="A446" s="107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</row>
    <row r="447">
      <c r="A447" s="107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</row>
    <row r="448">
      <c r="A448" s="107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</row>
    <row r="449">
      <c r="A449" s="107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</row>
    <row r="450">
      <c r="A450" s="107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</row>
    <row r="451">
      <c r="A451" s="107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</row>
    <row r="452">
      <c r="A452" s="107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</row>
    <row r="453">
      <c r="A453" s="107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</row>
    <row r="454">
      <c r="A454" s="107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</row>
    <row r="455">
      <c r="A455" s="107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</row>
    <row r="456">
      <c r="A456" s="107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</row>
    <row r="457">
      <c r="A457" s="107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</row>
    <row r="458">
      <c r="A458" s="107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</row>
    <row r="459">
      <c r="A459" s="107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</row>
    <row r="460">
      <c r="A460" s="107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</row>
    <row r="461">
      <c r="A461" s="107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</row>
    <row r="462">
      <c r="A462" s="107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</row>
    <row r="463">
      <c r="A463" s="107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</row>
    <row r="464">
      <c r="A464" s="107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</row>
    <row r="465">
      <c r="A465" s="107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</row>
    <row r="466">
      <c r="A466" s="107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</row>
    <row r="467">
      <c r="A467" s="107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</row>
    <row r="468">
      <c r="A468" s="107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</row>
    <row r="469">
      <c r="A469" s="107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</row>
    <row r="470">
      <c r="A470" s="107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</row>
    <row r="471">
      <c r="A471" s="107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</row>
    <row r="472">
      <c r="A472" s="107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</row>
    <row r="473">
      <c r="A473" s="107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</row>
    <row r="474">
      <c r="A474" s="107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</row>
    <row r="475">
      <c r="A475" s="107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</row>
    <row r="476">
      <c r="A476" s="107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</row>
    <row r="477">
      <c r="A477" s="107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</row>
    <row r="478">
      <c r="A478" s="107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</row>
    <row r="479">
      <c r="A479" s="107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</row>
    <row r="480">
      <c r="A480" s="107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</row>
    <row r="481">
      <c r="A481" s="107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</row>
    <row r="482">
      <c r="A482" s="107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</row>
    <row r="483">
      <c r="A483" s="107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</row>
    <row r="484">
      <c r="A484" s="107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</row>
    <row r="485">
      <c r="A485" s="107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</row>
    <row r="486">
      <c r="A486" s="107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</row>
    <row r="487">
      <c r="A487" s="107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</row>
    <row r="488">
      <c r="A488" s="107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</row>
    <row r="489">
      <c r="A489" s="107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</row>
    <row r="490">
      <c r="A490" s="107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</row>
    <row r="491">
      <c r="A491" s="107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</row>
    <row r="492">
      <c r="A492" s="107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</row>
    <row r="493">
      <c r="A493" s="107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</row>
    <row r="494">
      <c r="A494" s="107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</row>
    <row r="495">
      <c r="A495" s="107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</row>
    <row r="496">
      <c r="A496" s="107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</row>
    <row r="497">
      <c r="A497" s="107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</row>
    <row r="498">
      <c r="A498" s="107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</row>
    <row r="499">
      <c r="A499" s="107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</row>
    <row r="500">
      <c r="A500" s="107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</row>
    <row r="501">
      <c r="A501" s="107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</row>
    <row r="502">
      <c r="A502" s="107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</row>
    <row r="503">
      <c r="A503" s="107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</row>
    <row r="504">
      <c r="A504" s="107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</row>
    <row r="505">
      <c r="A505" s="107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</row>
    <row r="506">
      <c r="A506" s="107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</row>
    <row r="507">
      <c r="A507" s="107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</row>
    <row r="508">
      <c r="A508" s="107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</row>
    <row r="509">
      <c r="A509" s="107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</row>
    <row r="510">
      <c r="A510" s="107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</row>
    <row r="511">
      <c r="A511" s="107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</row>
    <row r="512">
      <c r="A512" s="107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</row>
    <row r="513">
      <c r="A513" s="107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</row>
    <row r="514">
      <c r="A514" s="107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</row>
    <row r="515">
      <c r="A515" s="107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</row>
    <row r="516">
      <c r="A516" s="107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</row>
    <row r="517">
      <c r="A517" s="107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</row>
    <row r="518">
      <c r="A518" s="107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</row>
    <row r="519">
      <c r="A519" s="107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</row>
    <row r="520">
      <c r="A520" s="107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</row>
    <row r="521">
      <c r="A521" s="107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</row>
    <row r="522">
      <c r="A522" s="107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</row>
    <row r="523">
      <c r="A523" s="107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</row>
    <row r="524">
      <c r="A524" s="107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</row>
    <row r="525">
      <c r="A525" s="107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</row>
    <row r="526">
      <c r="A526" s="107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</row>
    <row r="527">
      <c r="A527" s="107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</row>
    <row r="528">
      <c r="A528" s="107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</row>
    <row r="529">
      <c r="A529" s="107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</row>
    <row r="530">
      <c r="A530" s="107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</row>
    <row r="531">
      <c r="A531" s="107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</row>
    <row r="532">
      <c r="A532" s="107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</row>
    <row r="533">
      <c r="A533" s="107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</row>
    <row r="534">
      <c r="A534" s="107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</row>
    <row r="535">
      <c r="A535" s="107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</row>
    <row r="536">
      <c r="A536" s="107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</row>
    <row r="537">
      <c r="A537" s="107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</row>
    <row r="538">
      <c r="A538" s="107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</row>
    <row r="539">
      <c r="A539" s="107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</row>
    <row r="540">
      <c r="A540" s="107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</row>
    <row r="541">
      <c r="A541" s="107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</row>
    <row r="542">
      <c r="A542" s="107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</row>
    <row r="543">
      <c r="A543" s="107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</row>
    <row r="544">
      <c r="A544" s="107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</row>
    <row r="545">
      <c r="A545" s="107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</row>
    <row r="546">
      <c r="A546" s="107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</row>
    <row r="547">
      <c r="A547" s="107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</row>
    <row r="548">
      <c r="A548" s="107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</row>
    <row r="549">
      <c r="A549" s="107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</row>
    <row r="550">
      <c r="A550" s="107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</row>
    <row r="551">
      <c r="A551" s="107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</row>
    <row r="552">
      <c r="A552" s="107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</row>
    <row r="553">
      <c r="A553" s="107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</row>
    <row r="554">
      <c r="A554" s="107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</row>
    <row r="555">
      <c r="A555" s="107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</row>
    <row r="556">
      <c r="A556" s="107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</row>
    <row r="557">
      <c r="A557" s="107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</row>
    <row r="558">
      <c r="A558" s="107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</row>
    <row r="559">
      <c r="A559" s="107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</row>
    <row r="560">
      <c r="A560" s="107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</row>
    <row r="561">
      <c r="A561" s="107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</row>
    <row r="562">
      <c r="A562" s="107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</row>
    <row r="563">
      <c r="A563" s="107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</row>
    <row r="564">
      <c r="A564" s="107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</row>
    <row r="565">
      <c r="A565" s="107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</row>
    <row r="566">
      <c r="A566" s="107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</row>
    <row r="567">
      <c r="A567" s="107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</row>
    <row r="568">
      <c r="A568" s="107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</row>
    <row r="569">
      <c r="A569" s="107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</row>
    <row r="570">
      <c r="A570" s="107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</row>
    <row r="571">
      <c r="A571" s="107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</row>
    <row r="572">
      <c r="A572" s="107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</row>
    <row r="573">
      <c r="A573" s="107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</row>
    <row r="574">
      <c r="A574" s="107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</row>
    <row r="575">
      <c r="A575" s="107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</row>
    <row r="576">
      <c r="A576" s="107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</row>
    <row r="577">
      <c r="A577" s="107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</row>
    <row r="578">
      <c r="A578" s="107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</row>
    <row r="579">
      <c r="A579" s="107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</row>
    <row r="580">
      <c r="A580" s="107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</row>
    <row r="581">
      <c r="A581" s="107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</row>
    <row r="582">
      <c r="A582" s="107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</row>
    <row r="583">
      <c r="A583" s="107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</row>
    <row r="584">
      <c r="A584" s="107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</row>
    <row r="585">
      <c r="A585" s="107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</row>
    <row r="586">
      <c r="A586" s="107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</row>
    <row r="587">
      <c r="A587" s="107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</row>
    <row r="588">
      <c r="A588" s="107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</row>
    <row r="589">
      <c r="A589" s="107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</row>
    <row r="590">
      <c r="A590" s="107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</row>
    <row r="591">
      <c r="A591" s="107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</row>
    <row r="592">
      <c r="A592" s="107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</row>
    <row r="593">
      <c r="A593" s="107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</row>
    <row r="594">
      <c r="A594" s="107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</row>
    <row r="595">
      <c r="A595" s="107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</row>
    <row r="596">
      <c r="A596" s="107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</row>
    <row r="597">
      <c r="A597" s="107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</row>
    <row r="598">
      <c r="A598" s="107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</row>
    <row r="599">
      <c r="A599" s="107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</row>
    <row r="600">
      <c r="A600" s="107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</row>
    <row r="601">
      <c r="A601" s="107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</row>
    <row r="602">
      <c r="A602" s="107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</row>
    <row r="603">
      <c r="A603" s="107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</row>
    <row r="604">
      <c r="A604" s="107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</row>
    <row r="605">
      <c r="A605" s="107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</row>
    <row r="606">
      <c r="A606" s="107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</row>
    <row r="607">
      <c r="A607" s="107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</row>
    <row r="608">
      <c r="A608" s="107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</row>
    <row r="609">
      <c r="A609" s="107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</row>
    <row r="610">
      <c r="A610" s="107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</row>
    <row r="611">
      <c r="A611" s="107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</row>
    <row r="612">
      <c r="A612" s="107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</row>
    <row r="613">
      <c r="A613" s="107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</row>
    <row r="614">
      <c r="A614" s="107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</row>
    <row r="615">
      <c r="A615" s="107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</row>
    <row r="616">
      <c r="A616" s="107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</row>
    <row r="617">
      <c r="A617" s="107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</row>
    <row r="618">
      <c r="A618" s="107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</row>
    <row r="619">
      <c r="A619" s="107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</row>
    <row r="620">
      <c r="A620" s="107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</row>
    <row r="621">
      <c r="A621" s="107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</row>
    <row r="622">
      <c r="A622" s="107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</row>
    <row r="623">
      <c r="A623" s="107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</row>
    <row r="624">
      <c r="A624" s="107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</row>
    <row r="625">
      <c r="A625" s="107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</row>
    <row r="626">
      <c r="A626" s="107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</row>
    <row r="627">
      <c r="A627" s="107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</row>
    <row r="628">
      <c r="A628" s="107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</row>
    <row r="629">
      <c r="A629" s="107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</row>
    <row r="630">
      <c r="A630" s="107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</row>
    <row r="631">
      <c r="A631" s="107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</row>
    <row r="632">
      <c r="A632" s="107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</row>
    <row r="633">
      <c r="A633" s="107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</row>
    <row r="634">
      <c r="A634" s="107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</row>
    <row r="635">
      <c r="A635" s="107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</row>
    <row r="636">
      <c r="A636" s="107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</row>
    <row r="637">
      <c r="A637" s="107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</row>
    <row r="638">
      <c r="A638" s="107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</row>
    <row r="639">
      <c r="A639" s="107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</row>
    <row r="640">
      <c r="A640" s="107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</row>
    <row r="641">
      <c r="A641" s="107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</row>
    <row r="642">
      <c r="A642" s="107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</row>
    <row r="643">
      <c r="A643" s="107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</row>
    <row r="644">
      <c r="A644" s="107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</row>
    <row r="645">
      <c r="A645" s="107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</row>
    <row r="646">
      <c r="A646" s="107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</row>
    <row r="647">
      <c r="A647" s="107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</row>
    <row r="648">
      <c r="A648" s="107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</row>
    <row r="649">
      <c r="A649" s="107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</row>
    <row r="650">
      <c r="A650" s="107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</row>
    <row r="651">
      <c r="A651" s="107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</row>
    <row r="652">
      <c r="A652" s="107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</row>
    <row r="653">
      <c r="A653" s="107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</row>
    <row r="654">
      <c r="A654" s="107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</row>
    <row r="655">
      <c r="A655" s="107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</row>
    <row r="656">
      <c r="A656" s="107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</row>
    <row r="657">
      <c r="A657" s="107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</row>
    <row r="658">
      <c r="A658" s="107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</row>
    <row r="659">
      <c r="A659" s="107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</row>
    <row r="660">
      <c r="A660" s="107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</row>
    <row r="661">
      <c r="A661" s="107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</row>
    <row r="662">
      <c r="A662" s="107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</row>
    <row r="663">
      <c r="A663" s="107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</row>
    <row r="664">
      <c r="A664" s="107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</row>
    <row r="665">
      <c r="A665" s="107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</row>
    <row r="666">
      <c r="A666" s="107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</row>
    <row r="667">
      <c r="A667" s="107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</row>
    <row r="668">
      <c r="A668" s="107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</row>
    <row r="669">
      <c r="A669" s="107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</row>
    <row r="670">
      <c r="A670" s="107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</row>
    <row r="671">
      <c r="A671" s="107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</row>
    <row r="672">
      <c r="A672" s="107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</row>
    <row r="673">
      <c r="A673" s="107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</row>
    <row r="674">
      <c r="A674" s="107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</row>
    <row r="675">
      <c r="A675" s="107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</row>
    <row r="676">
      <c r="A676" s="107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</row>
    <row r="677">
      <c r="A677" s="107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</row>
    <row r="678">
      <c r="A678" s="107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</row>
    <row r="679">
      <c r="A679" s="107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</row>
    <row r="680">
      <c r="A680" s="107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</row>
    <row r="681">
      <c r="A681" s="107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</row>
    <row r="682">
      <c r="A682" s="107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</row>
    <row r="683">
      <c r="A683" s="107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</row>
    <row r="684">
      <c r="A684" s="107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</row>
    <row r="685">
      <c r="A685" s="107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</row>
    <row r="686">
      <c r="A686" s="107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</row>
    <row r="687">
      <c r="A687" s="107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</row>
    <row r="688">
      <c r="A688" s="107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</row>
    <row r="689">
      <c r="A689" s="107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</row>
    <row r="690">
      <c r="A690" s="107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</row>
    <row r="691">
      <c r="A691" s="107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</row>
    <row r="692">
      <c r="A692" s="107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</row>
    <row r="693">
      <c r="A693" s="107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</row>
    <row r="694">
      <c r="A694" s="107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</row>
    <row r="695">
      <c r="A695" s="107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</row>
    <row r="696">
      <c r="A696" s="107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</row>
    <row r="697">
      <c r="A697" s="107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</row>
    <row r="698">
      <c r="A698" s="107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</row>
    <row r="699">
      <c r="A699" s="107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</row>
    <row r="700">
      <c r="A700" s="107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</row>
    <row r="701">
      <c r="A701" s="107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</row>
    <row r="702">
      <c r="A702" s="107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</row>
    <row r="703">
      <c r="A703" s="107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</row>
    <row r="704">
      <c r="A704" s="107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</row>
    <row r="705">
      <c r="A705" s="107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</row>
    <row r="706">
      <c r="A706" s="107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</row>
    <row r="707">
      <c r="A707" s="107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</row>
    <row r="708">
      <c r="A708" s="107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</row>
    <row r="709">
      <c r="A709" s="107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</row>
    <row r="710">
      <c r="A710" s="107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</row>
    <row r="711">
      <c r="A711" s="107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</row>
    <row r="712">
      <c r="A712" s="107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</row>
    <row r="713">
      <c r="A713" s="107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</row>
    <row r="714">
      <c r="A714" s="107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</row>
    <row r="715">
      <c r="A715" s="107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</row>
    <row r="716">
      <c r="A716" s="107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</row>
    <row r="717">
      <c r="A717" s="107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</row>
    <row r="718">
      <c r="A718" s="107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</row>
    <row r="719">
      <c r="A719" s="107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</row>
    <row r="720">
      <c r="A720" s="107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</row>
    <row r="721">
      <c r="A721" s="107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</row>
    <row r="722">
      <c r="A722" s="107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</row>
    <row r="723">
      <c r="A723" s="107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</row>
    <row r="724">
      <c r="A724" s="107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</row>
    <row r="725">
      <c r="A725" s="107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</row>
    <row r="726">
      <c r="A726" s="107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</row>
    <row r="727">
      <c r="A727" s="107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</row>
    <row r="728">
      <c r="A728" s="107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</row>
    <row r="729">
      <c r="A729" s="107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</row>
    <row r="730">
      <c r="A730" s="107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</row>
    <row r="731">
      <c r="A731" s="107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</row>
    <row r="732">
      <c r="A732" s="107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</row>
    <row r="733">
      <c r="A733" s="107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</row>
    <row r="734">
      <c r="A734" s="107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</row>
    <row r="735">
      <c r="A735" s="107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</row>
    <row r="736">
      <c r="A736" s="107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</row>
    <row r="737">
      <c r="A737" s="107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</row>
    <row r="738">
      <c r="A738" s="107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</row>
    <row r="739">
      <c r="A739" s="107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</row>
    <row r="740">
      <c r="A740" s="107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</row>
    <row r="741">
      <c r="A741" s="107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</row>
    <row r="742">
      <c r="A742" s="107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</row>
    <row r="743">
      <c r="A743" s="107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</row>
    <row r="744">
      <c r="A744" s="107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</row>
    <row r="745">
      <c r="A745" s="107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</row>
    <row r="746">
      <c r="A746" s="107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</row>
    <row r="747">
      <c r="A747" s="107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</row>
    <row r="748">
      <c r="A748" s="107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</row>
    <row r="749">
      <c r="A749" s="107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</row>
    <row r="750">
      <c r="A750" s="107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</row>
    <row r="751">
      <c r="A751" s="107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</row>
    <row r="752">
      <c r="A752" s="107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</row>
    <row r="753">
      <c r="A753" s="107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</row>
    <row r="754">
      <c r="A754" s="107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</row>
    <row r="755">
      <c r="A755" s="107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</row>
    <row r="756">
      <c r="A756" s="107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</row>
    <row r="757">
      <c r="A757" s="107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</row>
    <row r="758">
      <c r="A758" s="107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</row>
    <row r="759">
      <c r="A759" s="107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</row>
    <row r="760">
      <c r="A760" s="107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</row>
    <row r="761">
      <c r="A761" s="107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</row>
    <row r="762">
      <c r="A762" s="107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</row>
    <row r="763">
      <c r="A763" s="107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</row>
    <row r="764">
      <c r="A764" s="107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</row>
    <row r="765">
      <c r="A765" s="107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</row>
    <row r="766">
      <c r="A766" s="107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</row>
    <row r="767">
      <c r="A767" s="107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</row>
    <row r="768">
      <c r="A768" s="107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</row>
    <row r="769">
      <c r="A769" s="107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</row>
    <row r="770">
      <c r="A770" s="107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</row>
    <row r="771">
      <c r="A771" s="107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</row>
    <row r="772">
      <c r="A772" s="107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</row>
    <row r="773">
      <c r="A773" s="107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</row>
    <row r="774">
      <c r="A774" s="107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</row>
    <row r="775">
      <c r="A775" s="107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</row>
    <row r="776">
      <c r="A776" s="107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</row>
    <row r="777">
      <c r="A777" s="107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</row>
    <row r="778">
      <c r="A778" s="107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</row>
    <row r="779">
      <c r="A779" s="107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</row>
    <row r="780">
      <c r="A780" s="107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</row>
    <row r="781">
      <c r="A781" s="107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</row>
    <row r="782">
      <c r="A782" s="107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</row>
    <row r="783">
      <c r="A783" s="107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</row>
    <row r="784">
      <c r="A784" s="107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</row>
    <row r="785">
      <c r="A785" s="107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</row>
    <row r="786">
      <c r="A786" s="107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</row>
    <row r="787">
      <c r="A787" s="107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</row>
    <row r="788">
      <c r="A788" s="107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</row>
    <row r="789">
      <c r="A789" s="107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</row>
    <row r="790">
      <c r="A790" s="107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</row>
    <row r="791">
      <c r="A791" s="107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</row>
    <row r="792">
      <c r="A792" s="107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</row>
    <row r="793">
      <c r="A793" s="107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</row>
    <row r="794">
      <c r="A794" s="107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</row>
    <row r="795">
      <c r="A795" s="107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</row>
    <row r="796">
      <c r="A796" s="107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</row>
    <row r="797">
      <c r="A797" s="107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</row>
    <row r="798">
      <c r="A798" s="107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</row>
    <row r="799">
      <c r="A799" s="107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</row>
    <row r="800">
      <c r="A800" s="107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</row>
    <row r="801">
      <c r="A801" s="107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</row>
    <row r="802">
      <c r="A802" s="107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</row>
    <row r="803">
      <c r="A803" s="107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</row>
    <row r="804">
      <c r="A804" s="107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</row>
    <row r="805">
      <c r="A805" s="107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</row>
    <row r="806">
      <c r="A806" s="107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</row>
    <row r="807">
      <c r="A807" s="107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</row>
    <row r="808">
      <c r="A808" s="107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</row>
    <row r="809">
      <c r="A809" s="107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</row>
    <row r="810">
      <c r="A810" s="107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</row>
    <row r="811">
      <c r="A811" s="107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</row>
    <row r="812">
      <c r="A812" s="107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</row>
    <row r="813">
      <c r="A813" s="107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</row>
    <row r="814">
      <c r="A814" s="107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</row>
    <row r="815">
      <c r="A815" s="107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</row>
    <row r="816">
      <c r="A816" s="107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</row>
    <row r="817">
      <c r="A817" s="107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</row>
    <row r="818">
      <c r="A818" s="107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</row>
    <row r="819">
      <c r="A819" s="107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</row>
    <row r="820">
      <c r="A820" s="107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</row>
    <row r="821">
      <c r="A821" s="107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</row>
    <row r="822">
      <c r="A822" s="107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</row>
    <row r="823">
      <c r="A823" s="107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</row>
    <row r="824">
      <c r="A824" s="107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</row>
    <row r="825">
      <c r="A825" s="107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</row>
    <row r="826">
      <c r="A826" s="107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</row>
    <row r="827">
      <c r="A827" s="107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</row>
    <row r="828">
      <c r="A828" s="107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</row>
    <row r="829">
      <c r="A829" s="107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</row>
    <row r="830">
      <c r="A830" s="107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</row>
    <row r="831">
      <c r="A831" s="107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</row>
    <row r="832">
      <c r="A832" s="107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</row>
    <row r="833">
      <c r="A833" s="107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</row>
    <row r="834">
      <c r="A834" s="107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</row>
    <row r="835">
      <c r="A835" s="107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</row>
    <row r="836">
      <c r="A836" s="107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</row>
    <row r="837">
      <c r="A837" s="107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</row>
    <row r="838">
      <c r="A838" s="107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</row>
    <row r="839">
      <c r="A839" s="107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</row>
    <row r="840">
      <c r="A840" s="107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</row>
    <row r="841">
      <c r="A841" s="107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</row>
    <row r="842">
      <c r="A842" s="107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</row>
    <row r="843">
      <c r="A843" s="107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</row>
    <row r="844">
      <c r="A844" s="107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</row>
    <row r="845">
      <c r="A845" s="107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</row>
    <row r="846">
      <c r="A846" s="107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</row>
    <row r="847">
      <c r="A847" s="107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</row>
    <row r="848">
      <c r="A848" s="107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</row>
    <row r="849">
      <c r="A849" s="107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</row>
    <row r="850">
      <c r="A850" s="107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</row>
    <row r="851">
      <c r="A851" s="107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</row>
    <row r="852">
      <c r="A852" s="107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</row>
    <row r="853">
      <c r="A853" s="107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</row>
    <row r="854">
      <c r="A854" s="107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</row>
    <row r="855">
      <c r="A855" s="107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</row>
    <row r="856">
      <c r="A856" s="107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</row>
    <row r="857">
      <c r="A857" s="107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</row>
    <row r="858">
      <c r="A858" s="107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</row>
    <row r="859">
      <c r="A859" s="107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</row>
    <row r="860">
      <c r="A860" s="107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</row>
    <row r="861">
      <c r="A861" s="107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</row>
    <row r="862">
      <c r="A862" s="107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</row>
    <row r="863">
      <c r="A863" s="107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</row>
    <row r="864">
      <c r="A864" s="107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</row>
    <row r="865">
      <c r="A865" s="107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</row>
    <row r="866">
      <c r="A866" s="107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</row>
    <row r="867">
      <c r="A867" s="107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</row>
    <row r="868">
      <c r="A868" s="107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</row>
    <row r="869">
      <c r="A869" s="107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</row>
    <row r="870">
      <c r="A870" s="107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</row>
    <row r="871">
      <c r="A871" s="107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</row>
    <row r="872">
      <c r="A872" s="107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</row>
    <row r="873">
      <c r="A873" s="107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</row>
    <row r="874">
      <c r="A874" s="107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</row>
    <row r="875">
      <c r="A875" s="107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</row>
    <row r="876">
      <c r="A876" s="107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</row>
    <row r="877">
      <c r="A877" s="107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</row>
    <row r="878">
      <c r="A878" s="107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</row>
    <row r="879">
      <c r="A879" s="107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</row>
    <row r="880">
      <c r="A880" s="107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</row>
    <row r="881">
      <c r="A881" s="107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</row>
    <row r="882">
      <c r="A882" s="107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</row>
    <row r="883">
      <c r="A883" s="107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</row>
    <row r="884">
      <c r="A884" s="107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</row>
    <row r="885">
      <c r="A885" s="107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</row>
    <row r="886">
      <c r="A886" s="107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</row>
    <row r="887">
      <c r="A887" s="107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</row>
    <row r="888">
      <c r="A888" s="107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</row>
    <row r="889">
      <c r="A889" s="107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</row>
    <row r="890">
      <c r="A890" s="107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</row>
    <row r="891">
      <c r="A891" s="107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</row>
    <row r="892">
      <c r="A892" s="107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</row>
    <row r="893">
      <c r="A893" s="107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</row>
    <row r="894">
      <c r="A894" s="107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</row>
    <row r="895">
      <c r="A895" s="107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</row>
    <row r="896">
      <c r="A896" s="107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</row>
    <row r="897">
      <c r="A897" s="107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</row>
    <row r="898">
      <c r="A898" s="107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</row>
    <row r="899">
      <c r="A899" s="107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</row>
    <row r="900">
      <c r="A900" s="107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</row>
    <row r="901">
      <c r="A901" s="107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</row>
    <row r="902">
      <c r="A902" s="107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</row>
    <row r="903">
      <c r="A903" s="107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</row>
    <row r="904">
      <c r="A904" s="107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</row>
    <row r="905">
      <c r="A905" s="107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</row>
    <row r="906">
      <c r="A906" s="107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</row>
    <row r="907">
      <c r="A907" s="107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</row>
    <row r="908">
      <c r="A908" s="107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</row>
    <row r="909">
      <c r="A909" s="107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</row>
    <row r="910">
      <c r="A910" s="107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</row>
    <row r="911">
      <c r="A911" s="107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</row>
    <row r="912">
      <c r="A912" s="107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</row>
    <row r="913">
      <c r="A913" s="107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</row>
    <row r="914">
      <c r="A914" s="107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</row>
    <row r="915">
      <c r="A915" s="107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</row>
    <row r="916">
      <c r="A916" s="107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</row>
    <row r="917">
      <c r="A917" s="107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</row>
    <row r="918">
      <c r="A918" s="107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</row>
    <row r="919">
      <c r="A919" s="107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</row>
    <row r="920">
      <c r="A920" s="107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</row>
    <row r="921">
      <c r="A921" s="107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</row>
    <row r="922">
      <c r="A922" s="107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</row>
    <row r="923">
      <c r="A923" s="107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</row>
    <row r="924">
      <c r="A924" s="107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</row>
    <row r="925">
      <c r="A925" s="107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</row>
    <row r="926">
      <c r="A926" s="107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</row>
    <row r="927">
      <c r="A927" s="107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</row>
    <row r="928">
      <c r="A928" s="107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</row>
    <row r="929">
      <c r="A929" s="107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</row>
    <row r="930">
      <c r="A930" s="107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</row>
    <row r="931">
      <c r="A931" s="107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</row>
    <row r="932">
      <c r="A932" s="107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</row>
    <row r="933">
      <c r="A933" s="107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</row>
    <row r="934">
      <c r="A934" s="107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</row>
    <row r="935">
      <c r="A935" s="107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</row>
    <row r="936">
      <c r="A936" s="107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</row>
    <row r="937">
      <c r="A937" s="107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</row>
    <row r="938">
      <c r="A938" s="107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</row>
    <row r="939">
      <c r="A939" s="107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</row>
    <row r="940">
      <c r="A940" s="107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</row>
    <row r="941">
      <c r="A941" s="107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</row>
    <row r="942">
      <c r="A942" s="107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</row>
    <row r="943">
      <c r="A943" s="107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</row>
    <row r="944">
      <c r="A944" s="107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</row>
    <row r="945">
      <c r="A945" s="107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</row>
    <row r="946">
      <c r="A946" s="107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</row>
    <row r="947">
      <c r="A947" s="107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</row>
    <row r="948">
      <c r="A948" s="107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</row>
    <row r="949">
      <c r="A949" s="107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</row>
    <row r="950">
      <c r="A950" s="107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</row>
    <row r="951">
      <c r="A951" s="107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</row>
    <row r="952">
      <c r="A952" s="107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</row>
    <row r="953">
      <c r="A953" s="107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</row>
    <row r="954">
      <c r="A954" s="107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</row>
    <row r="955">
      <c r="A955" s="107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</row>
    <row r="956">
      <c r="A956" s="107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</row>
    <row r="957">
      <c r="A957" s="107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109" t="s">
        <v>212</v>
      </c>
      <c r="B1" s="110">
        <v>0.1</v>
      </c>
      <c r="C1" s="109"/>
    </row>
    <row r="2">
      <c r="A2" s="109" t="s">
        <v>10</v>
      </c>
      <c r="B2" s="110">
        <v>0.1</v>
      </c>
      <c r="C2" s="109"/>
    </row>
    <row r="3">
      <c r="A3" s="109" t="s">
        <v>7</v>
      </c>
      <c r="B3" s="110">
        <v>0.13</v>
      </c>
      <c r="C3" s="109"/>
    </row>
    <row r="4">
      <c r="A4" s="109" t="s">
        <v>8</v>
      </c>
      <c r="B4" s="110">
        <v>0.15</v>
      </c>
      <c r="C4" s="109"/>
    </row>
    <row r="5">
      <c r="A5" s="109" t="s">
        <v>213</v>
      </c>
      <c r="B5" s="110">
        <v>0.15</v>
      </c>
      <c r="C5" s="109"/>
    </row>
    <row r="6">
      <c r="A6" s="109" t="s">
        <v>214</v>
      </c>
      <c r="B6" s="110">
        <v>0.2</v>
      </c>
      <c r="C6" s="109"/>
    </row>
    <row r="7">
      <c r="A7" s="109" t="s">
        <v>0</v>
      </c>
      <c r="B7" s="110">
        <v>0.21</v>
      </c>
      <c r="C7" s="109"/>
    </row>
    <row r="8">
      <c r="A8" s="109" t="s">
        <v>215</v>
      </c>
      <c r="B8" s="110">
        <v>0.22</v>
      </c>
      <c r="C8" s="109"/>
    </row>
    <row r="9">
      <c r="A9" s="109" t="s">
        <v>216</v>
      </c>
      <c r="B9" s="110">
        <v>0.3</v>
      </c>
      <c r="C9" s="109"/>
    </row>
    <row r="10">
      <c r="A10" s="111" t="s">
        <v>217</v>
      </c>
      <c r="B10" s="110">
        <v>0.3</v>
      </c>
      <c r="C10" s="109"/>
    </row>
    <row r="11">
      <c r="A11" s="109" t="s">
        <v>218</v>
      </c>
      <c r="B11" s="110">
        <v>0.35</v>
      </c>
      <c r="C11" s="109"/>
    </row>
    <row r="12">
      <c r="A12" s="109" t="s">
        <v>11</v>
      </c>
      <c r="B12" s="110">
        <v>0.4</v>
      </c>
      <c r="C12" s="109"/>
    </row>
    <row r="13">
      <c r="A13" s="109" t="s">
        <v>219</v>
      </c>
      <c r="B13" s="110">
        <v>0.45</v>
      </c>
      <c r="C13" s="109"/>
    </row>
    <row r="14">
      <c r="A14" s="109" t="s">
        <v>220</v>
      </c>
      <c r="B14" s="110">
        <v>0.5</v>
      </c>
      <c r="C14" s="10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9">
        <v>34.0</v>
      </c>
    </row>
    <row r="2">
      <c r="A2" s="109" t="s">
        <v>221</v>
      </c>
    </row>
    <row r="3">
      <c r="A3" s="109" t="s">
        <v>222</v>
      </c>
    </row>
    <row r="4">
      <c r="A4" s="109" t="s">
        <v>223</v>
      </c>
    </row>
    <row r="5">
      <c r="A5" s="109" t="s">
        <v>224</v>
      </c>
    </row>
    <row r="6">
      <c r="A6" s="109" t="s">
        <v>225</v>
      </c>
    </row>
    <row r="7">
      <c r="A7" s="109" t="s">
        <v>226</v>
      </c>
    </row>
    <row r="8">
      <c r="A8" s="109" t="s">
        <v>227</v>
      </c>
    </row>
    <row r="9">
      <c r="A9" s="109" t="s">
        <v>228</v>
      </c>
    </row>
    <row r="10">
      <c r="A10" s="109" t="s">
        <v>229</v>
      </c>
    </row>
    <row r="11">
      <c r="A11" s="109" t="s">
        <v>230</v>
      </c>
    </row>
    <row r="12">
      <c r="A12" s="109" t="s">
        <v>231</v>
      </c>
    </row>
    <row r="13">
      <c r="A13" s="112"/>
    </row>
    <row r="14">
      <c r="A14" s="109" t="s">
        <v>232</v>
      </c>
    </row>
    <row r="15">
      <c r="A15" s="109" t="s">
        <v>233</v>
      </c>
    </row>
    <row r="16">
      <c r="A16" s="109" t="s">
        <v>234</v>
      </c>
    </row>
    <row r="17">
      <c r="A17" s="109" t="s">
        <v>235</v>
      </c>
    </row>
    <row r="18">
      <c r="A18" s="109" t="s">
        <v>236</v>
      </c>
    </row>
    <row r="19">
      <c r="A19" s="109" t="s">
        <v>237</v>
      </c>
    </row>
    <row r="20">
      <c r="A20" s="109" t="s">
        <v>231</v>
      </c>
    </row>
    <row r="21">
      <c r="A21" s="112"/>
    </row>
    <row r="22">
      <c r="A22" s="109" t="s">
        <v>238</v>
      </c>
    </row>
    <row r="23">
      <c r="A23" s="109" t="s">
        <v>234</v>
      </c>
    </row>
    <row r="24">
      <c r="A24" s="109" t="s">
        <v>235</v>
      </c>
    </row>
    <row r="25">
      <c r="A25" s="109" t="s">
        <v>236</v>
      </c>
    </row>
    <row r="26">
      <c r="A26" s="109" t="s">
        <v>239</v>
      </c>
    </row>
    <row r="27">
      <c r="A27" s="109" t="s">
        <v>240</v>
      </c>
    </row>
    <row r="28">
      <c r="A28" s="109" t="s">
        <v>241</v>
      </c>
    </row>
    <row r="29">
      <c r="A29" s="109" t="s">
        <v>242</v>
      </c>
    </row>
    <row r="30">
      <c r="A30" s="112"/>
    </row>
    <row r="31">
      <c r="A31" s="109" t="s">
        <v>243</v>
      </c>
    </row>
    <row r="32">
      <c r="A32" s="109" t="s">
        <v>244</v>
      </c>
    </row>
    <row r="33">
      <c r="A33" s="112"/>
    </row>
    <row r="34">
      <c r="A34" s="109" t="s">
        <v>245</v>
      </c>
    </row>
    <row r="35">
      <c r="A35" s="109" t="s">
        <v>246</v>
      </c>
    </row>
    <row r="36">
      <c r="A36" s="112"/>
    </row>
    <row r="37">
      <c r="A37" s="109">
        <v>7.0</v>
      </c>
    </row>
    <row r="38">
      <c r="A38" s="109" t="s">
        <v>247</v>
      </c>
    </row>
    <row r="39">
      <c r="A39" s="109" t="s">
        <v>248</v>
      </c>
    </row>
    <row r="40">
      <c r="A40" s="109" t="s">
        <v>249</v>
      </c>
    </row>
    <row r="41">
      <c r="A41" s="109" t="s">
        <v>250</v>
      </c>
    </row>
    <row r="42">
      <c r="A42" s="109" t="s">
        <v>251</v>
      </c>
    </row>
    <row r="43">
      <c r="A43" s="112"/>
    </row>
    <row r="44">
      <c r="A44" s="109" t="s">
        <v>252</v>
      </c>
    </row>
    <row r="45">
      <c r="A45" s="109" t="s">
        <v>253</v>
      </c>
    </row>
    <row r="46">
      <c r="A46" s="109" t="s">
        <v>254</v>
      </c>
    </row>
    <row r="47">
      <c r="A47" s="109" t="s">
        <v>255</v>
      </c>
    </row>
    <row r="48">
      <c r="A48" s="109" t="s">
        <v>256</v>
      </c>
    </row>
    <row r="49">
      <c r="A49" s="109" t="s">
        <v>257</v>
      </c>
    </row>
    <row r="50">
      <c r="A50" s="109" t="s">
        <v>258</v>
      </c>
    </row>
    <row r="51">
      <c r="A51" s="112"/>
    </row>
    <row r="52">
      <c r="A52" s="109">
        <v>29.0</v>
      </c>
    </row>
    <row r="53">
      <c r="A53" s="109" t="s">
        <v>259</v>
      </c>
    </row>
    <row r="54">
      <c r="A54" s="109" t="s">
        <v>260</v>
      </c>
    </row>
    <row r="55">
      <c r="A55" s="109" t="s">
        <v>261</v>
      </c>
    </row>
    <row r="56">
      <c r="A56" s="109" t="s">
        <v>262</v>
      </c>
    </row>
    <row r="57">
      <c r="A57" s="109" t="s">
        <v>263</v>
      </c>
    </row>
    <row r="58">
      <c r="A58" s="109" t="s">
        <v>264</v>
      </c>
    </row>
    <row r="59">
      <c r="A59" s="109" t="s">
        <v>265</v>
      </c>
    </row>
    <row r="60">
      <c r="A60" s="109" t="s">
        <v>266</v>
      </c>
    </row>
    <row r="61">
      <c r="A61" s="109" t="s">
        <v>267</v>
      </c>
    </row>
    <row r="62">
      <c r="A62" s="112"/>
    </row>
    <row r="63">
      <c r="A63" s="109" t="s">
        <v>268</v>
      </c>
    </row>
    <row r="64">
      <c r="A64" s="109" t="s">
        <v>269</v>
      </c>
    </row>
    <row r="65">
      <c r="A65" s="109" t="s">
        <v>270</v>
      </c>
    </row>
    <row r="66">
      <c r="A66" s="109" t="s">
        <v>271</v>
      </c>
    </row>
    <row r="67">
      <c r="A67" s="109" t="s">
        <v>272</v>
      </c>
    </row>
    <row r="68">
      <c r="A68" s="109" t="s">
        <v>273</v>
      </c>
    </row>
    <row r="69">
      <c r="A69" s="109" t="s">
        <v>274</v>
      </c>
    </row>
    <row r="70">
      <c r="A70" s="112"/>
    </row>
    <row r="71">
      <c r="A71" s="109" t="s">
        <v>275</v>
      </c>
    </row>
    <row r="72">
      <c r="A72" s="109" t="s">
        <v>276</v>
      </c>
    </row>
    <row r="73">
      <c r="A73" s="109" t="s">
        <v>269</v>
      </c>
    </row>
    <row r="74">
      <c r="A74" s="109" t="s">
        <v>277</v>
      </c>
    </row>
    <row r="75">
      <c r="A75" s="109" t="s">
        <v>278</v>
      </c>
    </row>
    <row r="76">
      <c r="A76" s="112"/>
    </row>
    <row r="77">
      <c r="A77" s="109" t="s">
        <v>279</v>
      </c>
    </row>
    <row r="78">
      <c r="A78" s="109" t="s">
        <v>270</v>
      </c>
    </row>
    <row r="79">
      <c r="A79" s="109" t="s">
        <v>280</v>
      </c>
    </row>
    <row r="80">
      <c r="A80" s="109" t="s">
        <v>281</v>
      </c>
    </row>
    <row r="81">
      <c r="A81" s="109" t="s">
        <v>282</v>
      </c>
    </row>
    <row r="82">
      <c r="A82" s="109" t="s">
        <v>283</v>
      </c>
    </row>
    <row r="83">
      <c r="A83" s="109" t="s">
        <v>284</v>
      </c>
    </row>
    <row r="84">
      <c r="A84" s="109" t="s">
        <v>285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6.5"/>
    <col customWidth="1" min="3" max="3" width="5.88"/>
    <col customWidth="1" min="4" max="4" width="9.63"/>
    <col customWidth="1" min="5" max="5" width="7.13"/>
    <col customWidth="1" min="6" max="8" width="6.38"/>
    <col customWidth="1" min="9" max="9" width="5.63"/>
    <col customWidth="1" min="10" max="12" width="3.75"/>
    <col customWidth="1" min="13" max="13" width="6.5"/>
    <col customWidth="1" min="14" max="16" width="3.75"/>
    <col customWidth="1" min="17" max="18" width="2.88"/>
    <col customWidth="1" min="19" max="26" width="6.5"/>
    <col customWidth="1" min="27" max="27" width="4.75"/>
    <col customWidth="1" min="28" max="28" width="6.88"/>
    <col customWidth="1" min="29" max="29" width="4.25"/>
    <col customWidth="1" min="30" max="30" width="5.13"/>
    <col customWidth="1" min="31" max="31" width="5.25"/>
    <col customWidth="1" min="32" max="32" width="6.5"/>
    <col customWidth="1" min="33" max="33" width="4.75"/>
    <col customWidth="1" min="34" max="34" width="6.88"/>
    <col customWidth="1" min="35" max="36" width="4.25"/>
    <col customWidth="1" min="37" max="37" width="5.25"/>
    <col customWidth="1" min="38" max="38" width="8.38"/>
    <col customWidth="1" min="39" max="39" width="9.38"/>
  </cols>
  <sheetData>
    <row r="1">
      <c r="B1" s="2" t="s">
        <v>286</v>
      </c>
      <c r="C1" s="2" t="s">
        <v>287</v>
      </c>
      <c r="D1" s="2" t="s">
        <v>288</v>
      </c>
      <c r="E1" s="2" t="s">
        <v>289</v>
      </c>
      <c r="F1" s="2" t="s">
        <v>290</v>
      </c>
      <c r="G1" s="2" t="s">
        <v>291</v>
      </c>
      <c r="H1" s="2" t="s">
        <v>292</v>
      </c>
      <c r="I1" s="2" t="s">
        <v>293</v>
      </c>
      <c r="J1" s="2" t="s">
        <v>294</v>
      </c>
      <c r="K1" s="2" t="s">
        <v>295</v>
      </c>
      <c r="L1" s="2" t="s">
        <v>296</v>
      </c>
      <c r="M1" s="113" t="s">
        <v>297</v>
      </c>
      <c r="N1" s="2"/>
      <c r="O1" s="2"/>
      <c r="P1" s="2"/>
      <c r="Q1" s="2"/>
      <c r="R1" s="2"/>
      <c r="S1" s="2" t="s">
        <v>298</v>
      </c>
      <c r="T1" s="2"/>
      <c r="U1" s="2" t="s">
        <v>299</v>
      </c>
      <c r="V1" s="2" t="s">
        <v>300</v>
      </c>
      <c r="W1" s="2" t="s">
        <v>301</v>
      </c>
      <c r="X1" s="2" t="s">
        <v>302</v>
      </c>
      <c r="Y1" s="2" t="s">
        <v>303</v>
      </c>
      <c r="Z1" s="2" t="s">
        <v>304</v>
      </c>
      <c r="AA1" s="2" t="s">
        <v>305</v>
      </c>
      <c r="AB1" s="2" t="s">
        <v>306</v>
      </c>
      <c r="AC1" s="39"/>
      <c r="AD1" s="2" t="s">
        <v>307</v>
      </c>
      <c r="AE1" s="2"/>
      <c r="AF1" s="2" t="s">
        <v>304</v>
      </c>
      <c r="AG1" s="2" t="s">
        <v>305</v>
      </c>
      <c r="AH1" s="2" t="s">
        <v>306</v>
      </c>
      <c r="AI1" s="39"/>
      <c r="AJ1" s="2"/>
      <c r="AK1" s="2" t="s">
        <v>308</v>
      </c>
      <c r="AL1" s="2" t="s">
        <v>309</v>
      </c>
      <c r="AM1" s="2" t="s">
        <v>310</v>
      </c>
      <c r="AN1" s="2" t="s">
        <v>311</v>
      </c>
    </row>
    <row r="2">
      <c r="A2" s="2" t="s">
        <v>312</v>
      </c>
      <c r="B2" s="2">
        <v>1540.0</v>
      </c>
      <c r="C2" s="2">
        <v>75.0</v>
      </c>
      <c r="D2" s="2">
        <v>75.0</v>
      </c>
      <c r="E2" s="2">
        <v>75.0</v>
      </c>
      <c r="F2" s="2">
        <v>25.0</v>
      </c>
      <c r="G2" s="2">
        <v>10.0</v>
      </c>
      <c r="H2" s="2"/>
      <c r="I2" s="2"/>
      <c r="J2" s="2"/>
      <c r="K2" s="2"/>
      <c r="L2" s="2"/>
      <c r="M2" s="113" t="str">
        <f t="shared" ref="M2:M5" si="1">average(J2:L2)</f>
        <v>#DIV/0!</v>
      </c>
      <c r="N2" s="2">
        <v>10.0</v>
      </c>
      <c r="O2" s="2"/>
      <c r="P2" s="2"/>
      <c r="Q2" s="2">
        <v>4.0</v>
      </c>
      <c r="R2" s="2">
        <v>4.0</v>
      </c>
      <c r="S2" s="114">
        <f t="shared" ref="S2:S5" si="2">(N2*10+O2*8+P2*6+Q2*4+R2)/sum(N2:R2)</f>
        <v>6.666666667</v>
      </c>
      <c r="T2" s="2"/>
      <c r="U2" s="2"/>
      <c r="V2" s="2"/>
      <c r="W2" s="2"/>
      <c r="X2" s="2"/>
      <c r="Y2" s="2"/>
      <c r="Z2" s="2"/>
      <c r="AA2" s="2"/>
      <c r="AB2" s="2"/>
      <c r="AC2" s="39"/>
      <c r="AD2" s="2"/>
      <c r="AE2" s="2">
        <f>AD2*T2/100</f>
        <v>0</v>
      </c>
      <c r="AF2" s="2"/>
      <c r="AG2" s="2"/>
      <c r="AH2" s="2"/>
      <c r="AI2" s="39"/>
      <c r="AJ2" s="2"/>
      <c r="AK2" s="2"/>
      <c r="AL2" s="2"/>
    </row>
    <row r="3">
      <c r="A3" s="115" t="s">
        <v>313</v>
      </c>
      <c r="B3" s="2">
        <v>1510.0</v>
      </c>
      <c r="C3" s="2">
        <v>44.0</v>
      </c>
      <c r="D3" s="2">
        <v>85.0</v>
      </c>
      <c r="E3" s="2">
        <v>31.0</v>
      </c>
      <c r="F3" s="2">
        <v>21.0</v>
      </c>
      <c r="G3" s="2">
        <v>9.0</v>
      </c>
      <c r="H3" s="2"/>
      <c r="I3" s="2"/>
      <c r="J3" s="2">
        <v>49.0</v>
      </c>
      <c r="K3" s="2">
        <v>36.0</v>
      </c>
      <c r="L3" s="2">
        <v>41.0</v>
      </c>
      <c r="M3" s="113">
        <f t="shared" si="1"/>
        <v>42</v>
      </c>
      <c r="N3" s="2">
        <v>56.0</v>
      </c>
      <c r="O3" s="2">
        <v>30.0</v>
      </c>
      <c r="P3" s="2">
        <v>12.0</v>
      </c>
      <c r="Q3" s="2">
        <v>8.0</v>
      </c>
      <c r="R3" s="2">
        <v>11.0</v>
      </c>
      <c r="S3" s="114">
        <f t="shared" si="2"/>
        <v>7.820512821</v>
      </c>
      <c r="T3" s="2"/>
      <c r="U3" s="2">
        <v>14.3</v>
      </c>
      <c r="V3" s="2">
        <v>84.9</v>
      </c>
      <c r="W3" s="2">
        <v>0.7</v>
      </c>
      <c r="X3" s="2"/>
      <c r="Y3" s="2">
        <v>0.2</v>
      </c>
      <c r="Z3" s="2"/>
      <c r="AA3" s="2"/>
      <c r="AB3" s="2"/>
      <c r="AC3" s="39"/>
      <c r="AD3" s="2"/>
      <c r="AE3" s="2"/>
      <c r="AF3" s="2"/>
      <c r="AG3" s="2"/>
      <c r="AH3" s="2"/>
      <c r="AI3" s="39"/>
      <c r="AJ3" s="2"/>
      <c r="AK3" s="2"/>
      <c r="AL3" s="2"/>
      <c r="AM3" s="116">
        <v>0.27015052787413146</v>
      </c>
    </row>
    <row r="4">
      <c r="A4" s="115" t="s">
        <v>7</v>
      </c>
      <c r="B4" s="2">
        <v>1500.0</v>
      </c>
      <c r="C4" s="2">
        <v>85.0</v>
      </c>
      <c r="D4" s="2">
        <v>50.0</v>
      </c>
      <c r="E4" s="2">
        <v>92.0</v>
      </c>
      <c r="F4" s="2">
        <v>38.0</v>
      </c>
      <c r="G4" s="2">
        <v>6.0</v>
      </c>
      <c r="H4" s="2"/>
      <c r="I4" s="2"/>
      <c r="J4" s="2">
        <v>96.0</v>
      </c>
      <c r="K4" s="2">
        <v>81.0</v>
      </c>
      <c r="L4" s="2">
        <v>77.0</v>
      </c>
      <c r="M4" s="113">
        <f t="shared" si="1"/>
        <v>84.66666667</v>
      </c>
      <c r="N4" s="2">
        <v>50.0</v>
      </c>
      <c r="O4" s="2">
        <v>10.0</v>
      </c>
      <c r="P4" s="2">
        <v>2.0</v>
      </c>
      <c r="Q4" s="2">
        <v>4.0</v>
      </c>
      <c r="R4" s="2">
        <v>1.0</v>
      </c>
      <c r="S4" s="114">
        <f t="shared" si="2"/>
        <v>9.089552239</v>
      </c>
      <c r="T4" s="2"/>
      <c r="U4" s="2">
        <v>50.6</v>
      </c>
      <c r="V4" s="2">
        <v>24.7</v>
      </c>
      <c r="W4" s="2">
        <v>2.1</v>
      </c>
      <c r="X4" s="2">
        <v>22.0</v>
      </c>
      <c r="Y4" s="2">
        <v>0.5</v>
      </c>
      <c r="Z4" s="2"/>
      <c r="AA4" s="2"/>
      <c r="AB4" s="2"/>
      <c r="AC4" s="39"/>
      <c r="AD4" s="2"/>
      <c r="AE4" s="2"/>
      <c r="AF4" s="2"/>
      <c r="AG4" s="2"/>
      <c r="AH4" s="2"/>
      <c r="AI4" s="39"/>
      <c r="AJ4" s="2"/>
      <c r="AK4" s="2"/>
      <c r="AL4" s="2"/>
      <c r="AM4" s="116">
        <v>0.6379585326953747</v>
      </c>
      <c r="AN4" s="117">
        <v>0.05861977084998667</v>
      </c>
    </row>
    <row r="5">
      <c r="A5" s="115" t="s">
        <v>8</v>
      </c>
      <c r="B5" s="2">
        <v>1490.0</v>
      </c>
      <c r="C5" s="2">
        <v>58.0</v>
      </c>
      <c r="D5" s="2">
        <v>96.0</v>
      </c>
      <c r="E5" s="2">
        <v>46.0</v>
      </c>
      <c r="F5" s="2">
        <v>27.0</v>
      </c>
      <c r="G5" s="2">
        <v>9.0</v>
      </c>
      <c r="H5" s="2"/>
      <c r="I5" s="2"/>
      <c r="J5" s="2">
        <v>82.0</v>
      </c>
      <c r="K5" s="2">
        <v>59.0</v>
      </c>
      <c r="L5" s="2">
        <v>64.0</v>
      </c>
      <c r="M5" s="113">
        <f t="shared" si="1"/>
        <v>68.33333333</v>
      </c>
      <c r="N5" s="2">
        <v>102.0</v>
      </c>
      <c r="O5" s="2">
        <v>39.0</v>
      </c>
      <c r="P5" s="2">
        <v>12.0</v>
      </c>
      <c r="Q5" s="2">
        <v>11.0</v>
      </c>
      <c r="R5" s="2">
        <v>5.0</v>
      </c>
      <c r="S5" s="114">
        <f t="shared" si="2"/>
        <v>8.597633136</v>
      </c>
      <c r="T5" s="2"/>
      <c r="U5" s="2">
        <v>11.4</v>
      </c>
      <c r="V5" s="2">
        <v>73.1</v>
      </c>
      <c r="W5" s="2">
        <v>1.8</v>
      </c>
      <c r="X5" s="2">
        <v>10.8</v>
      </c>
      <c r="Y5" s="2">
        <v>0.3</v>
      </c>
      <c r="Z5" s="2"/>
      <c r="AA5" s="2"/>
      <c r="AB5" s="2"/>
      <c r="AC5" s="39"/>
      <c r="AD5" s="2"/>
      <c r="AE5" s="2"/>
      <c r="AF5" s="2"/>
      <c r="AG5" s="2"/>
      <c r="AH5" s="2"/>
      <c r="AI5" s="39"/>
      <c r="AJ5" s="2"/>
      <c r="AK5" s="2"/>
      <c r="AL5" s="2"/>
      <c r="AM5" s="116">
        <v>0.23550191345304686</v>
      </c>
      <c r="AN5" s="117">
        <v>0.05587121212121212</v>
      </c>
    </row>
    <row r="6">
      <c r="A6" s="115" t="s">
        <v>0</v>
      </c>
      <c r="B6" s="2">
        <v>1490.0</v>
      </c>
      <c r="C6" s="2">
        <v>94.0</v>
      </c>
      <c r="D6" s="2">
        <v>47.0</v>
      </c>
      <c r="E6" s="2">
        <v>63.0</v>
      </c>
      <c r="F6" s="2">
        <v>37.0</v>
      </c>
      <c r="G6" s="2">
        <v>7.0</v>
      </c>
      <c r="AN6" s="117">
        <v>0.03367003367003367</v>
      </c>
    </row>
    <row r="7">
      <c r="A7" s="115" t="s">
        <v>212</v>
      </c>
      <c r="B7" s="2">
        <v>1480.0</v>
      </c>
      <c r="C7" s="2">
        <v>79.0</v>
      </c>
      <c r="D7" s="2">
        <v>87.0</v>
      </c>
      <c r="E7" s="2">
        <v>100.0</v>
      </c>
      <c r="F7" s="2">
        <v>87.0</v>
      </c>
      <c r="G7" s="2">
        <v>7.0</v>
      </c>
      <c r="H7" s="2"/>
      <c r="I7" s="2"/>
      <c r="J7" s="2">
        <v>100.0</v>
      </c>
      <c r="K7" s="2">
        <v>93.0</v>
      </c>
      <c r="L7" s="2">
        <v>100.0</v>
      </c>
      <c r="M7" s="113">
        <f t="shared" ref="M7:M12" si="3">average(J7:L7)</f>
        <v>97.66666667</v>
      </c>
      <c r="N7" s="2">
        <v>41.0</v>
      </c>
      <c r="O7" s="2">
        <v>11.0</v>
      </c>
      <c r="P7" s="2">
        <v>3.0</v>
      </c>
      <c r="Q7" s="2">
        <v>2.0</v>
      </c>
      <c r="R7" s="2">
        <v>3.0</v>
      </c>
      <c r="S7" s="114">
        <f t="shared" ref="S7:S12" si="4">(N7*10+O7*8+P7*6+Q7*4+R7)/sum(N7:R7)</f>
        <v>8.783333333</v>
      </c>
      <c r="T7" s="2"/>
      <c r="U7" s="2">
        <v>32.2</v>
      </c>
      <c r="V7" s="2">
        <v>36.1</v>
      </c>
      <c r="W7" s="2">
        <v>8.7</v>
      </c>
      <c r="X7" s="2">
        <v>16.8</v>
      </c>
      <c r="Y7" s="2">
        <v>3.8</v>
      </c>
      <c r="Z7" s="2"/>
      <c r="AA7" s="2"/>
      <c r="AB7" s="2"/>
      <c r="AC7" s="39"/>
      <c r="AD7" s="2"/>
      <c r="AE7" s="2"/>
      <c r="AF7" s="2"/>
      <c r="AG7" s="2"/>
      <c r="AH7" s="2"/>
      <c r="AI7" s="39"/>
      <c r="AJ7" s="2"/>
      <c r="AK7" s="2"/>
      <c r="AL7" s="2"/>
      <c r="AM7" s="116">
        <v>0.36080914360203914</v>
      </c>
      <c r="AN7" s="117">
        <v>0.06010928961748634</v>
      </c>
    </row>
    <row r="8">
      <c r="A8" s="115" t="s">
        <v>314</v>
      </c>
      <c r="B8" s="2">
        <v>1480.0</v>
      </c>
      <c r="C8" s="2">
        <v>100.0</v>
      </c>
      <c r="D8" s="2">
        <v>73.0</v>
      </c>
      <c r="E8" s="2">
        <v>73.0</v>
      </c>
      <c r="F8" s="2">
        <v>55.0</v>
      </c>
      <c r="G8" s="2">
        <v>9.0</v>
      </c>
      <c r="H8" s="2"/>
      <c r="I8" s="2"/>
      <c r="J8" s="2">
        <v>50.0</v>
      </c>
      <c r="K8" s="2">
        <v>17.0</v>
      </c>
      <c r="L8" s="2">
        <v>33.0</v>
      </c>
      <c r="M8" s="113">
        <f t="shared" si="3"/>
        <v>33.33333333</v>
      </c>
      <c r="N8" s="2">
        <v>31.0</v>
      </c>
      <c r="O8" s="2">
        <v>11.0</v>
      </c>
      <c r="P8" s="2">
        <v>5.0</v>
      </c>
      <c r="Q8" s="2">
        <v>2.0</v>
      </c>
      <c r="R8" s="2">
        <v>0.0</v>
      </c>
      <c r="S8" s="114">
        <f t="shared" si="4"/>
        <v>8.897959184</v>
      </c>
      <c r="T8" s="2"/>
      <c r="U8" s="2">
        <v>29.3</v>
      </c>
      <c r="V8" s="2">
        <v>29.3</v>
      </c>
      <c r="W8" s="2">
        <v>6.1</v>
      </c>
      <c r="X8" s="2">
        <v>24.2</v>
      </c>
      <c r="Y8" s="2">
        <v>2.2</v>
      </c>
      <c r="Z8" s="2"/>
      <c r="AA8" s="2"/>
      <c r="AB8" s="2"/>
      <c r="AC8" s="39"/>
      <c r="AD8" s="2"/>
      <c r="AE8" s="2"/>
      <c r="AF8" s="2"/>
      <c r="AG8" s="2"/>
      <c r="AH8" s="2"/>
      <c r="AI8" s="39"/>
      <c r="AJ8" s="2"/>
      <c r="AK8" s="2"/>
      <c r="AL8" s="2"/>
      <c r="AM8" s="116">
        <v>0.2230065156686317</v>
      </c>
      <c r="AN8" s="117">
        <v>0.03494623655913979</v>
      </c>
    </row>
    <row r="9">
      <c r="A9" s="2" t="s">
        <v>15</v>
      </c>
      <c r="B9" s="2">
        <v>1460.0</v>
      </c>
      <c r="C9" s="2">
        <v>62.0</v>
      </c>
      <c r="D9" s="2">
        <v>97.0</v>
      </c>
      <c r="E9" s="2">
        <v>53.0</v>
      </c>
      <c r="F9" s="2">
        <v>34.0</v>
      </c>
      <c r="G9" s="2">
        <v>23.0</v>
      </c>
      <c r="H9" s="2">
        <v>108480.0</v>
      </c>
      <c r="I9" s="2">
        <v>18582.0</v>
      </c>
      <c r="J9" s="2">
        <v>96.0</v>
      </c>
      <c r="K9" s="2">
        <v>63.0</v>
      </c>
      <c r="L9" s="2">
        <v>91.0</v>
      </c>
      <c r="M9" s="113">
        <f t="shared" si="3"/>
        <v>83.33333333</v>
      </c>
      <c r="N9" s="2">
        <v>101.0</v>
      </c>
      <c r="O9" s="2">
        <v>225.0</v>
      </c>
      <c r="P9" s="2">
        <v>142.0</v>
      </c>
      <c r="Q9" s="2">
        <v>24.0</v>
      </c>
      <c r="R9" s="2">
        <v>6.0</v>
      </c>
      <c r="S9" s="114">
        <f t="shared" si="4"/>
        <v>7.558232932</v>
      </c>
      <c r="T9" s="2">
        <v>1781.0</v>
      </c>
      <c r="U9" s="2">
        <v>7.2</v>
      </c>
      <c r="V9" s="2">
        <v>80.1</v>
      </c>
      <c r="W9" s="2">
        <v>3.0</v>
      </c>
      <c r="X9" s="2">
        <v>8.8</v>
      </c>
      <c r="Y9" s="2">
        <v>0.4</v>
      </c>
      <c r="Z9" s="2">
        <v>95.0</v>
      </c>
      <c r="AA9" s="2">
        <v>95.0</v>
      </c>
      <c r="AB9" s="2">
        <v>86.0</v>
      </c>
      <c r="AC9" s="39">
        <f t="shared" ref="AC9:AC12" si="5">average(Z9:AB9)</f>
        <v>92</v>
      </c>
      <c r="AD9" s="2">
        <v>84.0</v>
      </c>
      <c r="AE9" s="2">
        <f t="shared" ref="AE9:AE12" si="6">AD9*T9/100</f>
        <v>1496.04</v>
      </c>
      <c r="AF9" s="2">
        <v>97.0</v>
      </c>
      <c r="AG9" s="2">
        <v>97.0</v>
      </c>
      <c r="AH9" s="2">
        <v>89.0</v>
      </c>
      <c r="AI9" s="39">
        <f t="shared" ref="AI9:AI12" si="7">average(AF9:AH9)</f>
        <v>94.33333333</v>
      </c>
      <c r="AJ9" s="113">
        <f t="shared" ref="AJ9:AJ12" si="8">AI9-AC9</f>
        <v>2.333333333</v>
      </c>
      <c r="AK9" s="2">
        <v>5.0</v>
      </c>
      <c r="AL9" s="2">
        <v>3.0</v>
      </c>
      <c r="AM9" s="116">
        <v>0.08972501386181368</v>
      </c>
      <c r="AN9" s="117">
        <v>0.013771186440677966</v>
      </c>
    </row>
    <row r="10">
      <c r="A10" s="2" t="s">
        <v>315</v>
      </c>
      <c r="B10" s="2">
        <v>1460.0</v>
      </c>
      <c r="C10" s="2">
        <v>57.0</v>
      </c>
      <c r="D10" s="2">
        <v>96.0</v>
      </c>
      <c r="E10" s="2">
        <v>54.0</v>
      </c>
      <c r="F10" s="2">
        <v>44.0</v>
      </c>
      <c r="G10" s="2">
        <v>24.0</v>
      </c>
      <c r="H10" s="2">
        <v>105812.0</v>
      </c>
      <c r="I10" s="2">
        <v>13688.0</v>
      </c>
      <c r="J10" s="2">
        <v>87.0</v>
      </c>
      <c r="K10" s="2">
        <v>40.0</v>
      </c>
      <c r="L10" s="2">
        <v>84.0</v>
      </c>
      <c r="M10" s="113">
        <f t="shared" si="3"/>
        <v>70.33333333</v>
      </c>
      <c r="N10" s="2">
        <v>37.0</v>
      </c>
      <c r="O10" s="2">
        <v>152.0</v>
      </c>
      <c r="P10" s="2">
        <v>163.0</v>
      </c>
      <c r="Q10" s="2">
        <v>46.0</v>
      </c>
      <c r="R10" s="2">
        <v>14.0</v>
      </c>
      <c r="S10" s="114">
        <f t="shared" si="4"/>
        <v>6.703883495</v>
      </c>
      <c r="T10" s="2">
        <v>1971.0</v>
      </c>
      <c r="U10" s="2">
        <v>4.5</v>
      </c>
      <c r="V10" s="2">
        <v>89.8</v>
      </c>
      <c r="W10" s="2">
        <v>3.2</v>
      </c>
      <c r="X10" s="2">
        <v>2.1</v>
      </c>
      <c r="Y10" s="2">
        <v>0.3</v>
      </c>
      <c r="Z10" s="2">
        <v>94.0</v>
      </c>
      <c r="AA10" s="2">
        <v>90.0</v>
      </c>
      <c r="AB10" s="2">
        <v>81.0</v>
      </c>
      <c r="AC10" s="39">
        <f t="shared" si="5"/>
        <v>88.33333333</v>
      </c>
      <c r="AD10" s="2">
        <v>90.0</v>
      </c>
      <c r="AE10" s="2">
        <f t="shared" si="6"/>
        <v>1773.9</v>
      </c>
      <c r="AF10" s="2">
        <v>96.0</v>
      </c>
      <c r="AG10" s="2">
        <v>92.0</v>
      </c>
      <c r="AH10" s="2">
        <v>85.0</v>
      </c>
      <c r="AI10" s="39">
        <f t="shared" si="7"/>
        <v>91</v>
      </c>
      <c r="AJ10" s="113">
        <f t="shared" si="8"/>
        <v>2.666666667</v>
      </c>
      <c r="AK10" s="2">
        <v>26.0</v>
      </c>
      <c r="AL10" s="2">
        <v>2.0</v>
      </c>
      <c r="AM10" s="116">
        <v>0.0779679517819067</v>
      </c>
      <c r="AN10" s="117">
        <v>0.013513513513513514</v>
      </c>
    </row>
    <row r="11">
      <c r="A11" s="2" t="s">
        <v>17</v>
      </c>
      <c r="B11" s="2">
        <v>1450.0</v>
      </c>
      <c r="C11" s="2">
        <v>67.0</v>
      </c>
      <c r="D11" s="2">
        <v>91.0</v>
      </c>
      <c r="E11" s="2">
        <v>50.0</v>
      </c>
      <c r="F11" s="2">
        <v>35.0</v>
      </c>
      <c r="G11" s="2">
        <v>21.0</v>
      </c>
      <c r="H11" s="2">
        <v>109507.0</v>
      </c>
      <c r="I11" s="2">
        <v>22373.0</v>
      </c>
      <c r="J11" s="2">
        <v>85.0</v>
      </c>
      <c r="K11" s="2">
        <v>45.0</v>
      </c>
      <c r="L11" s="2">
        <v>65.0</v>
      </c>
      <c r="M11" s="113">
        <f t="shared" si="3"/>
        <v>65</v>
      </c>
      <c r="N11" s="2">
        <v>48.0</v>
      </c>
      <c r="O11" s="2">
        <v>109.0</v>
      </c>
      <c r="P11" s="2">
        <v>49.0</v>
      </c>
      <c r="Q11" s="2">
        <v>5.0</v>
      </c>
      <c r="R11" s="2">
        <v>3.0</v>
      </c>
      <c r="S11" s="114">
        <f t="shared" si="4"/>
        <v>7.799065421</v>
      </c>
      <c r="T11" s="2">
        <v>1159.0</v>
      </c>
      <c r="U11" s="2">
        <v>21.5</v>
      </c>
      <c r="V11" s="2">
        <v>58.7</v>
      </c>
      <c r="W11" s="2">
        <v>7.0</v>
      </c>
      <c r="X11" s="2">
        <v>12.2</v>
      </c>
      <c r="Y11" s="2"/>
      <c r="Z11" s="2">
        <v>88.0</v>
      </c>
      <c r="AA11" s="2">
        <v>88.0</v>
      </c>
      <c r="AB11" s="2">
        <v>72.0</v>
      </c>
      <c r="AC11" s="39">
        <f t="shared" si="5"/>
        <v>82.66666667</v>
      </c>
      <c r="AD11" s="2">
        <v>61.0</v>
      </c>
      <c r="AE11" s="2">
        <f t="shared" si="6"/>
        <v>706.99</v>
      </c>
      <c r="AF11" s="2">
        <v>94.0</v>
      </c>
      <c r="AG11" s="2">
        <v>94.0</v>
      </c>
      <c r="AH11" s="2">
        <v>80.0</v>
      </c>
      <c r="AI11" s="39">
        <f t="shared" si="7"/>
        <v>89.33333333</v>
      </c>
      <c r="AJ11" s="113">
        <f t="shared" si="8"/>
        <v>6.666666667</v>
      </c>
      <c r="AK11" s="2">
        <v>3.0</v>
      </c>
      <c r="AL11" s="2">
        <v>6.0</v>
      </c>
      <c r="AM11" s="116">
        <v>0.14992658007181775</v>
      </c>
      <c r="AN11" s="117">
        <v>0.006906077348066298</v>
      </c>
    </row>
    <row r="12">
      <c r="A12" s="2" t="s">
        <v>316</v>
      </c>
      <c r="B12" s="2">
        <v>1450.0</v>
      </c>
      <c r="C12" s="2">
        <v>49.0</v>
      </c>
      <c r="D12" s="2">
        <v>100.0</v>
      </c>
      <c r="E12" s="2">
        <v>53.0</v>
      </c>
      <c r="F12" s="2">
        <v>40.0</v>
      </c>
      <c r="G12" s="2">
        <v>25.0</v>
      </c>
      <c r="H12" s="2">
        <v>108480.0</v>
      </c>
      <c r="I12" s="2">
        <v>18582.0</v>
      </c>
      <c r="J12" s="2">
        <v>89.0</v>
      </c>
      <c r="K12" s="2">
        <v>66.0</v>
      </c>
      <c r="L12" s="2">
        <v>80.0</v>
      </c>
      <c r="M12" s="113">
        <f t="shared" si="3"/>
        <v>78.33333333</v>
      </c>
      <c r="N12" s="2">
        <v>40.0</v>
      </c>
      <c r="O12" s="2">
        <v>166.0</v>
      </c>
      <c r="P12" s="2">
        <v>151.0</v>
      </c>
      <c r="Q12" s="2">
        <v>39.0</v>
      </c>
      <c r="R12" s="2">
        <v>16.0</v>
      </c>
      <c r="S12" s="114">
        <f t="shared" si="4"/>
        <v>6.810679612</v>
      </c>
      <c r="T12" s="2">
        <v>1839.0</v>
      </c>
      <c r="U12" s="2">
        <v>9.1</v>
      </c>
      <c r="V12" s="2">
        <v>78.4</v>
      </c>
      <c r="W12" s="2">
        <v>3.9</v>
      </c>
      <c r="X12" s="2">
        <v>8.2</v>
      </c>
      <c r="Y12" s="2">
        <v>0.2</v>
      </c>
      <c r="Z12" s="2">
        <v>88.0</v>
      </c>
      <c r="AA12" s="2">
        <v>88.0</v>
      </c>
      <c r="AB12" s="2">
        <v>77.0</v>
      </c>
      <c r="AC12" s="39">
        <f t="shared" si="5"/>
        <v>84.33333333</v>
      </c>
      <c r="AD12" s="2">
        <v>79.0</v>
      </c>
      <c r="AE12" s="2">
        <f t="shared" si="6"/>
        <v>1452.81</v>
      </c>
      <c r="AF12" s="2">
        <v>89.0</v>
      </c>
      <c r="AG12" s="2">
        <v>93.0</v>
      </c>
      <c r="AH12" s="2">
        <v>80.0</v>
      </c>
      <c r="AI12" s="39">
        <f t="shared" si="7"/>
        <v>87.33333333</v>
      </c>
      <c r="AJ12" s="113">
        <f t="shared" si="8"/>
        <v>3</v>
      </c>
      <c r="AK12" s="2">
        <v>19.0</v>
      </c>
      <c r="AL12" s="2">
        <v>4.0</v>
      </c>
      <c r="AM12" s="116">
        <v>0.10126399662638301</v>
      </c>
      <c r="AN12" s="117">
        <v>0.007401315789473684</v>
      </c>
    </row>
    <row r="13">
      <c r="A13" s="115" t="s">
        <v>9</v>
      </c>
      <c r="B13" s="2">
        <v>1440.0</v>
      </c>
      <c r="C13" s="2">
        <v>69.0</v>
      </c>
      <c r="D13" s="2">
        <v>82.0</v>
      </c>
      <c r="E13" s="2">
        <v>82.0</v>
      </c>
      <c r="F13" s="2">
        <v>82.0</v>
      </c>
      <c r="AN13" s="117">
        <v>0.025925925925925925</v>
      </c>
    </row>
    <row r="14">
      <c r="A14" s="2" t="s">
        <v>13</v>
      </c>
      <c r="B14" s="2">
        <v>1430.0</v>
      </c>
      <c r="C14" s="2">
        <v>65.0</v>
      </c>
      <c r="D14" s="2">
        <v>94.0</v>
      </c>
      <c r="E14" s="2">
        <v>75.0</v>
      </c>
      <c r="F14" s="2">
        <v>49.0</v>
      </c>
      <c r="G14" s="2">
        <v>17.0</v>
      </c>
      <c r="H14" s="2">
        <v>124742.0</v>
      </c>
      <c r="I14" s="2">
        <v>21626.0</v>
      </c>
      <c r="J14" s="2">
        <v>93.0</v>
      </c>
      <c r="K14" s="2">
        <v>67.0</v>
      </c>
      <c r="L14" s="2">
        <v>87.0</v>
      </c>
      <c r="M14" s="113">
        <f>average(J14:L14)</f>
        <v>82.33333333</v>
      </c>
      <c r="N14" s="2">
        <v>67.0</v>
      </c>
      <c r="O14" s="2">
        <v>160.0</v>
      </c>
      <c r="P14" s="2">
        <v>88.0</v>
      </c>
      <c r="Q14" s="2">
        <v>12.0</v>
      </c>
      <c r="R14" s="2">
        <v>3.0</v>
      </c>
      <c r="S14" s="114">
        <f>(N14*10+O14*8+P14*6+Q14*4+R14)/sum(N14:R14)</f>
        <v>7.663636364</v>
      </c>
      <c r="T14" s="2">
        <f>1868</f>
        <v>1868</v>
      </c>
      <c r="U14" s="2">
        <v>30.6</v>
      </c>
      <c r="V14" s="2">
        <v>45.7</v>
      </c>
      <c r="W14" s="2">
        <v>11.7</v>
      </c>
      <c r="X14" s="2">
        <v>10.0</v>
      </c>
      <c r="Y14" s="2">
        <v>1.4</v>
      </c>
      <c r="Z14" s="2">
        <v>87.0</v>
      </c>
      <c r="AA14" s="2">
        <v>82.0</v>
      </c>
      <c r="AB14" s="2">
        <v>80.0</v>
      </c>
      <c r="AC14" s="39">
        <f>average(Z14:AB14)</f>
        <v>83</v>
      </c>
      <c r="AD14" s="2">
        <v>43.0</v>
      </c>
      <c r="AE14" s="2">
        <f>AD14*T14/100</f>
        <v>803.24</v>
      </c>
      <c r="AF14" s="2">
        <v>93.0</v>
      </c>
      <c r="AG14" s="2">
        <v>93.0</v>
      </c>
      <c r="AH14" s="2">
        <v>85.0</v>
      </c>
      <c r="AI14" s="39">
        <f>average(AF14:AH14)</f>
        <v>90.33333333</v>
      </c>
      <c r="AJ14" s="113">
        <f>AI14-AC14</f>
        <v>7.333333333</v>
      </c>
      <c r="AK14" s="2">
        <v>1.0</v>
      </c>
      <c r="AL14" s="2">
        <v>7.0</v>
      </c>
      <c r="AM14" s="116">
        <v>0.15931102666585448</v>
      </c>
      <c r="AN14" s="117">
        <v>0.020879940343027592</v>
      </c>
    </row>
    <row r="15">
      <c r="A15" s="115" t="s">
        <v>1</v>
      </c>
      <c r="B15" s="2">
        <v>1430.0</v>
      </c>
      <c r="C15" s="2">
        <v>79.0</v>
      </c>
      <c r="D15" s="2">
        <v>93.0</v>
      </c>
      <c r="E15" s="2">
        <v>71.0</v>
      </c>
      <c r="F15" s="2">
        <v>86.0</v>
      </c>
      <c r="G15" s="2">
        <v>6.0</v>
      </c>
      <c r="AN15" s="117">
        <v>0.049999999999999996</v>
      </c>
    </row>
    <row r="16">
      <c r="A16" s="115" t="s">
        <v>10</v>
      </c>
      <c r="B16" s="2">
        <v>1420.0</v>
      </c>
      <c r="C16" s="2">
        <v>78.0</v>
      </c>
      <c r="D16" s="2">
        <v>82.0</v>
      </c>
      <c r="E16" s="2">
        <v>64.0</v>
      </c>
      <c r="F16" s="2">
        <v>82.0</v>
      </c>
      <c r="G16" s="2">
        <v>7.0</v>
      </c>
      <c r="H16" s="2"/>
      <c r="I16" s="2"/>
      <c r="J16" s="2">
        <v>88.0</v>
      </c>
      <c r="K16" s="2">
        <v>75.0</v>
      </c>
      <c r="L16" s="2">
        <v>81.0</v>
      </c>
      <c r="M16" s="113">
        <f t="shared" ref="M16:M19" si="9">average(J16:L16)</f>
        <v>81.33333333</v>
      </c>
      <c r="N16" s="2">
        <v>39.0</v>
      </c>
      <c r="O16" s="2">
        <v>29.0</v>
      </c>
      <c r="P16" s="2">
        <v>9.0</v>
      </c>
      <c r="Q16" s="2">
        <v>3.0</v>
      </c>
      <c r="R16" s="2">
        <v>4.0</v>
      </c>
      <c r="S16" s="114">
        <f t="shared" ref="S16:S19" si="10">(N16*10+O16*8+P16*6+Q16*4+R16)/sum(N16:R16)</f>
        <v>8.238095238</v>
      </c>
      <c r="T16" s="2"/>
      <c r="U16" s="2">
        <v>39.0</v>
      </c>
      <c r="V16" s="2">
        <v>27.5</v>
      </c>
      <c r="W16" s="2">
        <v>12.0</v>
      </c>
      <c r="X16" s="2">
        <v>12.9</v>
      </c>
      <c r="Y16" s="2">
        <v>3.1</v>
      </c>
      <c r="Z16" s="2"/>
      <c r="AA16" s="2"/>
      <c r="AB16" s="2"/>
      <c r="AC16" s="39"/>
      <c r="AD16" s="2"/>
      <c r="AE16" s="2">
        <f t="shared" ref="AE16:AE19" si="11">AD16*T16/100</f>
        <v>0</v>
      </c>
      <c r="AF16" s="2"/>
      <c r="AG16" s="2"/>
      <c r="AH16" s="2"/>
      <c r="AI16" s="39"/>
      <c r="AJ16" s="2"/>
      <c r="AK16" s="2"/>
      <c r="AL16" s="2"/>
      <c r="AM16" s="116">
        <v>0.22846263683960022</v>
      </c>
      <c r="AN16" s="117">
        <v>0.053425745433542705</v>
      </c>
    </row>
    <row r="17">
      <c r="A17" s="2" t="s">
        <v>216</v>
      </c>
      <c r="B17" s="2">
        <v>1420.0</v>
      </c>
      <c r="C17" s="2"/>
      <c r="D17" s="2">
        <v>67.0</v>
      </c>
      <c r="E17" s="2">
        <v>67.0</v>
      </c>
      <c r="F17" s="2">
        <v>33.0</v>
      </c>
      <c r="G17" s="2">
        <v>15.0</v>
      </c>
      <c r="H17" s="2"/>
      <c r="I17" s="2"/>
      <c r="J17" s="2"/>
      <c r="K17" s="2"/>
      <c r="L17" s="2"/>
      <c r="M17" s="113" t="str">
        <f t="shared" si="9"/>
        <v>#DIV/0!</v>
      </c>
      <c r="N17" s="2">
        <v>11.0</v>
      </c>
      <c r="O17" s="2">
        <v>5.0</v>
      </c>
      <c r="P17" s="2">
        <v>3.0</v>
      </c>
      <c r="Q17" s="2"/>
      <c r="R17" s="2">
        <v>1.0</v>
      </c>
      <c r="S17" s="114">
        <f t="shared" si="10"/>
        <v>8.45</v>
      </c>
      <c r="T17" s="2"/>
      <c r="U17" s="2">
        <v>44.0</v>
      </c>
      <c r="V17" s="2">
        <v>38.9</v>
      </c>
      <c r="W17" s="2">
        <v>3.1</v>
      </c>
      <c r="X17" s="2">
        <v>13.7</v>
      </c>
      <c r="Y17" s="2"/>
      <c r="Z17" s="2"/>
      <c r="AA17" s="2"/>
      <c r="AB17" s="2"/>
      <c r="AC17" s="39"/>
      <c r="AD17" s="2"/>
      <c r="AE17" s="2">
        <f t="shared" si="11"/>
        <v>0</v>
      </c>
      <c r="AF17" s="2"/>
      <c r="AG17" s="2"/>
      <c r="AH17" s="2"/>
      <c r="AI17" s="39"/>
      <c r="AJ17" s="2"/>
      <c r="AK17" s="2"/>
      <c r="AL17" s="2"/>
      <c r="AM17" s="116">
        <v>0.05141388174807198</v>
      </c>
    </row>
    <row r="18">
      <c r="A18" s="2" t="s">
        <v>18</v>
      </c>
      <c r="B18" s="2">
        <v>1410.0</v>
      </c>
      <c r="C18" s="2">
        <v>62.0</v>
      </c>
      <c r="D18" s="2">
        <v>94.0</v>
      </c>
      <c r="E18" s="2">
        <v>60.0</v>
      </c>
      <c r="F18" s="2">
        <v>38.0</v>
      </c>
      <c r="G18" s="2">
        <v>25.0</v>
      </c>
      <c r="H18" s="2">
        <v>89874.0</v>
      </c>
      <c r="I18" s="2">
        <v>12294.0</v>
      </c>
      <c r="J18" s="2">
        <v>84.0</v>
      </c>
      <c r="K18" s="2">
        <v>56.0</v>
      </c>
      <c r="L18" s="2">
        <v>77.0</v>
      </c>
      <c r="M18" s="113">
        <f t="shared" si="9"/>
        <v>72.33333333</v>
      </c>
      <c r="N18" s="2">
        <v>144.0</v>
      </c>
      <c r="O18" s="2">
        <v>341.0</v>
      </c>
      <c r="P18" s="2">
        <v>187.0</v>
      </c>
      <c r="Q18" s="2">
        <v>36.0</v>
      </c>
      <c r="R18" s="2">
        <v>20.0</v>
      </c>
      <c r="S18" s="114">
        <f t="shared" si="10"/>
        <v>7.491758242</v>
      </c>
      <c r="T18" s="2">
        <v>3340.0</v>
      </c>
      <c r="U18" s="2">
        <v>9.2</v>
      </c>
      <c r="V18" s="2">
        <v>78.6</v>
      </c>
      <c r="W18" s="2">
        <v>4.1</v>
      </c>
      <c r="X18" s="2">
        <v>4.9</v>
      </c>
      <c r="Y18" s="2">
        <v>2.9</v>
      </c>
      <c r="Z18" s="2">
        <v>91.0</v>
      </c>
      <c r="AA18" s="2">
        <v>82.0</v>
      </c>
      <c r="AB18" s="2">
        <v>67.0</v>
      </c>
      <c r="AC18" s="39">
        <f t="shared" ref="AC18:AC19" si="12">average(Z18:AB18)</f>
        <v>80</v>
      </c>
      <c r="AD18" s="2">
        <v>69.0</v>
      </c>
      <c r="AE18" s="2">
        <f t="shared" si="11"/>
        <v>2304.6</v>
      </c>
      <c r="AF18" s="2">
        <v>94.0</v>
      </c>
      <c r="AG18" s="2">
        <v>90.0</v>
      </c>
      <c r="AH18" s="2">
        <v>73.0</v>
      </c>
      <c r="AI18" s="39">
        <f t="shared" ref="AI18:AI19" si="13">average(AF18:AH18)</f>
        <v>85.66666667</v>
      </c>
      <c r="AJ18" s="113">
        <f t="shared" ref="AJ18:AJ19" si="14">AI18-AC18</f>
        <v>5.666666667</v>
      </c>
      <c r="AK18" s="2">
        <v>15.0</v>
      </c>
      <c r="AL18" s="2">
        <v>5.0</v>
      </c>
      <c r="AM18" s="116">
        <v>0.08342094437080039</v>
      </c>
      <c r="AN18" s="117">
        <v>0.0030153508771929827</v>
      </c>
    </row>
    <row r="19">
      <c r="A19" s="2" t="s">
        <v>24</v>
      </c>
      <c r="B19" s="2">
        <v>1410.0</v>
      </c>
      <c r="C19" s="2">
        <v>59.0</v>
      </c>
      <c r="D19" s="2">
        <v>86.0</v>
      </c>
      <c r="E19" s="2">
        <v>81.0</v>
      </c>
      <c r="F19" s="2">
        <v>51.0</v>
      </c>
      <c r="G19" s="2">
        <v>25.0</v>
      </c>
      <c r="H19" s="2">
        <v>105812.0</v>
      </c>
      <c r="I19" s="2">
        <v>13688.0</v>
      </c>
      <c r="J19" s="2"/>
      <c r="K19" s="2"/>
      <c r="L19" s="2"/>
      <c r="M19" s="113" t="str">
        <f t="shared" si="9"/>
        <v>#DIV/0!</v>
      </c>
      <c r="N19" s="2">
        <v>68.0</v>
      </c>
      <c r="O19" s="2">
        <v>316.0</v>
      </c>
      <c r="P19" s="2">
        <v>297.0</v>
      </c>
      <c r="Q19" s="2">
        <v>30.0</v>
      </c>
      <c r="R19" s="2">
        <v>9.0</v>
      </c>
      <c r="S19" s="114">
        <f t="shared" si="10"/>
        <v>7.109722222</v>
      </c>
      <c r="T19" s="2">
        <v>2315.0</v>
      </c>
      <c r="U19" s="2">
        <v>7.5</v>
      </c>
      <c r="V19" s="2">
        <v>77.8</v>
      </c>
      <c r="W19" s="2">
        <v>10.9</v>
      </c>
      <c r="X19" s="2">
        <v>2.2</v>
      </c>
      <c r="Y19" s="2">
        <v>1.0</v>
      </c>
      <c r="Z19" s="2">
        <v>82.0</v>
      </c>
      <c r="AA19" s="2">
        <v>75.0</v>
      </c>
      <c r="AB19" s="2">
        <v>65.0</v>
      </c>
      <c r="AC19" s="39">
        <f t="shared" si="12"/>
        <v>74</v>
      </c>
      <c r="AD19" s="2">
        <v>71.0</v>
      </c>
      <c r="AE19" s="2">
        <f t="shared" si="11"/>
        <v>1643.65</v>
      </c>
      <c r="AF19" s="2">
        <v>87.0</v>
      </c>
      <c r="AG19" s="2">
        <v>85.0</v>
      </c>
      <c r="AH19" s="2">
        <v>72.0</v>
      </c>
      <c r="AI19" s="39">
        <f t="shared" si="13"/>
        <v>81.33333333</v>
      </c>
      <c r="AJ19" s="113">
        <f t="shared" si="14"/>
        <v>7.333333333</v>
      </c>
      <c r="AK19" s="2">
        <v>29.0</v>
      </c>
      <c r="AL19" s="2">
        <v>13.0</v>
      </c>
      <c r="AM19" s="116">
        <v>0.06051958002742814</v>
      </c>
      <c r="AN19" s="117">
        <v>0.0023333333333333335</v>
      </c>
    </row>
    <row r="20">
      <c r="A20" s="115" t="s">
        <v>317</v>
      </c>
      <c r="B20" s="2">
        <v>1410.0</v>
      </c>
      <c r="C20" s="2">
        <v>89.0</v>
      </c>
      <c r="D20" s="2">
        <v>75.0</v>
      </c>
      <c r="E20" s="2">
        <v>100.0</v>
      </c>
      <c r="F20" s="2">
        <v>67.0</v>
      </c>
      <c r="AN20" s="117">
        <v>0.022321428571428572</v>
      </c>
    </row>
    <row r="21">
      <c r="A21" s="2" t="s">
        <v>14</v>
      </c>
      <c r="B21" s="2">
        <v>1400.0</v>
      </c>
      <c r="C21" s="2">
        <v>62.0</v>
      </c>
      <c r="D21" s="2">
        <v>93.0</v>
      </c>
      <c r="E21" s="2">
        <v>59.0</v>
      </c>
      <c r="F21" s="2">
        <v>87.0</v>
      </c>
      <c r="G21" s="2">
        <v>17.0</v>
      </c>
      <c r="H21" s="2">
        <v>124742.0</v>
      </c>
      <c r="I21" s="2">
        <v>21626.0</v>
      </c>
      <c r="J21" s="2">
        <v>87.0</v>
      </c>
      <c r="K21" s="2">
        <v>67.0</v>
      </c>
      <c r="L21" s="2">
        <v>72.0</v>
      </c>
      <c r="M21" s="113">
        <f t="shared" ref="M21:M45" si="15">average(J21:L21)</f>
        <v>75.33333333</v>
      </c>
      <c r="N21" s="2">
        <v>88.0</v>
      </c>
      <c r="O21" s="2">
        <v>171.0</v>
      </c>
      <c r="P21" s="2">
        <v>73.0</v>
      </c>
      <c r="Q21" s="2">
        <v>11.0</v>
      </c>
      <c r="R21" s="2">
        <v>6.0</v>
      </c>
      <c r="S21" s="114">
        <f t="shared" ref="S21:S45" si="16">(N21*10+O21*8+P21*6+Q21*4+R21)/sum(N21:R21)</f>
        <v>7.839541547</v>
      </c>
      <c r="T21" s="2">
        <v>2010.0</v>
      </c>
      <c r="U21" s="2">
        <v>38.4</v>
      </c>
      <c r="V21" s="2">
        <v>35.4</v>
      </c>
      <c r="W21" s="2">
        <v>13.7</v>
      </c>
      <c r="X21" s="2">
        <v>9.9</v>
      </c>
      <c r="Y21" s="2">
        <v>1.6</v>
      </c>
      <c r="Z21" s="2">
        <v>88.0</v>
      </c>
      <c r="AA21" s="2">
        <v>83.0</v>
      </c>
      <c r="AB21" s="2">
        <v>61.0</v>
      </c>
      <c r="AC21" s="39">
        <f t="shared" ref="AC21:AC25" si="17">average(Z21:AB21)</f>
        <v>77.33333333</v>
      </c>
      <c r="AD21" s="2">
        <v>33.0</v>
      </c>
      <c r="AE21" s="2">
        <f t="shared" ref="AE21:AE45" si="18">AD21*T21/100</f>
        <v>663.3</v>
      </c>
      <c r="AF21" s="2">
        <v>93.0</v>
      </c>
      <c r="AG21" s="2">
        <v>93.0</v>
      </c>
      <c r="AH21" s="2">
        <v>69.0</v>
      </c>
      <c r="AI21" s="39">
        <f t="shared" ref="AI21:AI30" si="19">average(AF21:AH21)</f>
        <v>85</v>
      </c>
      <c r="AJ21" s="113">
        <f t="shared" ref="AJ21:AJ25" si="20">AI21-AC21</f>
        <v>7.666666667</v>
      </c>
      <c r="AK21" s="2">
        <v>2.0</v>
      </c>
      <c r="AL21" s="2">
        <v>9.0</v>
      </c>
      <c r="AM21" s="116">
        <v>0.1461618461365489</v>
      </c>
      <c r="AN21" s="117">
        <v>0.014005602240896359</v>
      </c>
    </row>
    <row r="22">
      <c r="A22" s="2" t="s">
        <v>318</v>
      </c>
      <c r="B22" s="2">
        <v>1400.0</v>
      </c>
      <c r="C22" s="2">
        <v>67.0</v>
      </c>
      <c r="D22" s="2">
        <v>91.0</v>
      </c>
      <c r="E22" s="2">
        <v>62.0</v>
      </c>
      <c r="F22" s="2">
        <v>81.0</v>
      </c>
      <c r="G22" s="2">
        <v>24.0</v>
      </c>
      <c r="H22" s="2">
        <v>108480.0</v>
      </c>
      <c r="I22" s="2">
        <v>18582.0</v>
      </c>
      <c r="J22" s="2">
        <v>86.0</v>
      </c>
      <c r="K22" s="2">
        <v>55.0</v>
      </c>
      <c r="L22" s="2">
        <v>75.0</v>
      </c>
      <c r="M22" s="113">
        <f t="shared" si="15"/>
        <v>72</v>
      </c>
      <c r="N22" s="2">
        <v>71.0</v>
      </c>
      <c r="O22" s="2">
        <v>240.0</v>
      </c>
      <c r="P22" s="2">
        <v>149.0</v>
      </c>
      <c r="Q22" s="2">
        <v>18.0</v>
      </c>
      <c r="R22" s="2">
        <v>3.0</v>
      </c>
      <c r="S22" s="114">
        <f t="shared" si="16"/>
        <v>7.482328482</v>
      </c>
      <c r="T22" s="2">
        <v>2321.0</v>
      </c>
      <c r="U22" s="2">
        <v>25.6</v>
      </c>
      <c r="V22" s="2">
        <v>43.6</v>
      </c>
      <c r="W22" s="2">
        <v>17.8</v>
      </c>
      <c r="X22" s="2">
        <v>11.5</v>
      </c>
      <c r="Y22" s="2">
        <v>0.9</v>
      </c>
      <c r="Z22" s="2">
        <v>82.0</v>
      </c>
      <c r="AA22" s="2">
        <v>73.0</v>
      </c>
      <c r="AB22" s="2">
        <v>66.0</v>
      </c>
      <c r="AC22" s="39">
        <f t="shared" si="17"/>
        <v>73.66666667</v>
      </c>
      <c r="AD22" s="2">
        <v>43.0</v>
      </c>
      <c r="AE22" s="2">
        <f t="shared" si="18"/>
        <v>998.03</v>
      </c>
      <c r="AF22" s="2">
        <v>90.0</v>
      </c>
      <c r="AG22" s="2">
        <v>91.0</v>
      </c>
      <c r="AH22" s="2">
        <v>75.0</v>
      </c>
      <c r="AI22" s="39">
        <f t="shared" si="19"/>
        <v>85.33333333</v>
      </c>
      <c r="AJ22" s="113">
        <f t="shared" si="20"/>
        <v>11.66666667</v>
      </c>
      <c r="AK22" s="2">
        <v>10.0</v>
      </c>
      <c r="AL22" s="2">
        <v>17.0</v>
      </c>
      <c r="AM22" s="116">
        <v>0.07213752376585543</v>
      </c>
      <c r="AN22" s="117">
        <v>0.003575357535753575</v>
      </c>
    </row>
    <row r="23">
      <c r="A23" s="2" t="s">
        <v>319</v>
      </c>
      <c r="B23" s="2">
        <v>1400.0</v>
      </c>
      <c r="C23" s="2">
        <v>66.0</v>
      </c>
      <c r="D23" s="2">
        <v>95.0</v>
      </c>
      <c r="E23" s="2">
        <v>62.0</v>
      </c>
      <c r="F23" s="2">
        <v>56.0</v>
      </c>
      <c r="G23" s="2">
        <v>24.0</v>
      </c>
      <c r="H23" s="2">
        <v>108480.0</v>
      </c>
      <c r="I23" s="2">
        <v>18582.0</v>
      </c>
      <c r="J23" s="2">
        <v>93.0</v>
      </c>
      <c r="K23" s="2">
        <v>54.0</v>
      </c>
      <c r="L23" s="2">
        <v>87.0</v>
      </c>
      <c r="M23" s="113">
        <f t="shared" si="15"/>
        <v>78</v>
      </c>
      <c r="N23" s="2">
        <v>75.0</v>
      </c>
      <c r="O23" s="2">
        <v>274.0</v>
      </c>
      <c r="P23" s="2">
        <v>131.0</v>
      </c>
      <c r="Q23" s="2">
        <v>17.0</v>
      </c>
      <c r="R23" s="2">
        <v>2.0</v>
      </c>
      <c r="S23" s="114">
        <f t="shared" si="16"/>
        <v>7.611222445</v>
      </c>
      <c r="T23" s="2">
        <v>2108.0</v>
      </c>
      <c r="U23" s="2">
        <v>9.8</v>
      </c>
      <c r="V23" s="2">
        <v>71.4</v>
      </c>
      <c r="W23" s="2">
        <v>9.8</v>
      </c>
      <c r="X23" s="2">
        <v>7.6</v>
      </c>
      <c r="Y23" s="2">
        <v>1.0</v>
      </c>
      <c r="Z23" s="2">
        <v>87.0</v>
      </c>
      <c r="AA23" s="2">
        <v>77.0</v>
      </c>
      <c r="AB23" s="2">
        <v>71.0</v>
      </c>
      <c r="AC23" s="39">
        <f t="shared" si="17"/>
        <v>78.33333333</v>
      </c>
      <c r="AD23" s="2">
        <v>70.0</v>
      </c>
      <c r="AE23" s="2">
        <f t="shared" si="18"/>
        <v>1475.6</v>
      </c>
      <c r="AF23" s="2">
        <v>91.0</v>
      </c>
      <c r="AG23" s="2">
        <v>89.0</v>
      </c>
      <c r="AH23" s="2">
        <v>77.0</v>
      </c>
      <c r="AI23" s="39">
        <f t="shared" si="19"/>
        <v>85.66666667</v>
      </c>
      <c r="AJ23" s="113">
        <f t="shared" si="20"/>
        <v>7.333333333</v>
      </c>
      <c r="AK23" s="2">
        <v>12.0</v>
      </c>
      <c r="AM23" s="116">
        <v>0.0651114335677345</v>
      </c>
      <c r="AN23" s="117">
        <v>0.0022965879265091863</v>
      </c>
    </row>
    <row r="24">
      <c r="A24" s="2" t="s">
        <v>320</v>
      </c>
      <c r="B24" s="2">
        <v>1390.0</v>
      </c>
      <c r="C24" s="2">
        <v>68.0</v>
      </c>
      <c r="D24" s="2">
        <v>83.0</v>
      </c>
      <c r="E24" s="2">
        <v>60.0</v>
      </c>
      <c r="F24" s="2">
        <v>58.0</v>
      </c>
      <c r="G24" s="2">
        <v>25.0</v>
      </c>
      <c r="H24" s="2">
        <v>105812.0</v>
      </c>
      <c r="I24" s="2">
        <v>13688.0</v>
      </c>
      <c r="J24" s="2"/>
      <c r="K24" s="2"/>
      <c r="L24" s="2"/>
      <c r="M24" s="113" t="str">
        <f t="shared" si="15"/>
        <v>#DIV/0!</v>
      </c>
      <c r="N24" s="2">
        <v>34.0</v>
      </c>
      <c r="O24" s="2">
        <v>172.0</v>
      </c>
      <c r="P24" s="2">
        <v>194.0</v>
      </c>
      <c r="Q24" s="2">
        <v>27.0</v>
      </c>
      <c r="R24" s="2">
        <v>6.0</v>
      </c>
      <c r="S24" s="114">
        <f t="shared" si="16"/>
        <v>6.914549654</v>
      </c>
      <c r="T24" s="2">
        <v>2522.0</v>
      </c>
      <c r="U24" s="2">
        <v>9.5</v>
      </c>
      <c r="V24" s="2">
        <v>73.8</v>
      </c>
      <c r="W24" s="2">
        <v>9.6</v>
      </c>
      <c r="X24" s="2">
        <v>3.9</v>
      </c>
      <c r="Y24" s="2">
        <v>2.1</v>
      </c>
      <c r="Z24" s="2">
        <v>87.0</v>
      </c>
      <c r="AA24" s="2">
        <v>72.0</v>
      </c>
      <c r="AB24" s="2">
        <v>66.0</v>
      </c>
      <c r="AC24" s="39">
        <f t="shared" si="17"/>
        <v>75</v>
      </c>
      <c r="AD24" s="2">
        <v>62.0</v>
      </c>
      <c r="AE24" s="2">
        <f t="shared" si="18"/>
        <v>1563.64</v>
      </c>
      <c r="AF24" s="2">
        <v>94.0</v>
      </c>
      <c r="AG24" s="2">
        <v>88.0</v>
      </c>
      <c r="AH24" s="2">
        <v>76.0</v>
      </c>
      <c r="AI24" s="39">
        <f t="shared" si="19"/>
        <v>86</v>
      </c>
      <c r="AJ24" s="113">
        <f t="shared" si="20"/>
        <v>11</v>
      </c>
      <c r="AK24" s="2">
        <v>28.0</v>
      </c>
      <c r="AL24" s="2">
        <v>18.0</v>
      </c>
      <c r="AM24" s="116">
        <v>0.03814669391737533</v>
      </c>
      <c r="AN24" s="117">
        <v>0.003646973012399708</v>
      </c>
    </row>
    <row r="25">
      <c r="A25" s="2" t="s">
        <v>19</v>
      </c>
      <c r="B25" s="2">
        <v>1380.0</v>
      </c>
      <c r="C25" s="2">
        <v>75.0</v>
      </c>
      <c r="D25" s="2">
        <v>81.0</v>
      </c>
      <c r="E25" s="2">
        <v>74.0</v>
      </c>
      <c r="F25" s="2">
        <v>74.0</v>
      </c>
      <c r="G25" s="2">
        <v>19.0</v>
      </c>
      <c r="H25" s="2">
        <v>126499.0</v>
      </c>
      <c r="I25" s="2">
        <v>23719.0</v>
      </c>
      <c r="J25" s="2">
        <v>89.0</v>
      </c>
      <c r="K25" s="2">
        <v>61.0</v>
      </c>
      <c r="L25" s="2">
        <v>73.0</v>
      </c>
      <c r="M25" s="113">
        <f t="shared" si="15"/>
        <v>74.33333333</v>
      </c>
      <c r="N25" s="2">
        <v>72.0</v>
      </c>
      <c r="O25" s="2">
        <v>179.0</v>
      </c>
      <c r="P25" s="2">
        <v>73.0</v>
      </c>
      <c r="Q25" s="2">
        <v>10.0</v>
      </c>
      <c r="R25" s="2">
        <v>3.0</v>
      </c>
      <c r="S25" s="114">
        <f t="shared" si="16"/>
        <v>7.81305638</v>
      </c>
      <c r="T25" s="2">
        <v>2136.0</v>
      </c>
      <c r="U25" s="2">
        <v>35.3</v>
      </c>
      <c r="V25" s="2">
        <v>28.9</v>
      </c>
      <c r="W25" s="2">
        <v>27.4</v>
      </c>
      <c r="X25" s="2">
        <v>6.3</v>
      </c>
      <c r="Y25" s="2">
        <v>1.0</v>
      </c>
      <c r="Z25" s="2">
        <v>84.0</v>
      </c>
      <c r="AA25" s="2">
        <v>69.0</v>
      </c>
      <c r="AB25" s="2">
        <v>67.0</v>
      </c>
      <c r="AC25" s="39">
        <f t="shared" si="17"/>
        <v>73.33333333</v>
      </c>
      <c r="AD25" s="2">
        <v>25.0</v>
      </c>
      <c r="AE25" s="2">
        <f t="shared" si="18"/>
        <v>534</v>
      </c>
      <c r="AF25" s="2">
        <v>99.0</v>
      </c>
      <c r="AG25" s="2">
        <v>95.0</v>
      </c>
      <c r="AH25" s="2">
        <v>83.0</v>
      </c>
      <c r="AI25" s="39">
        <f t="shared" si="19"/>
        <v>92.33333333</v>
      </c>
      <c r="AJ25" s="113">
        <f t="shared" si="20"/>
        <v>19</v>
      </c>
      <c r="AK25" s="2">
        <v>4.0</v>
      </c>
      <c r="AM25" s="116">
        <v>0.12149605380817231</v>
      </c>
      <c r="AN25" s="117">
        <v>0.004617968094038623</v>
      </c>
    </row>
    <row r="26">
      <c r="A26" s="2" t="s">
        <v>21</v>
      </c>
      <c r="B26" s="2">
        <v>1380.0</v>
      </c>
      <c r="C26" s="2">
        <v>54.0</v>
      </c>
      <c r="D26" s="2">
        <v>96.0</v>
      </c>
      <c r="E26" s="2">
        <v>57.0</v>
      </c>
      <c r="F26" s="2">
        <v>62.0</v>
      </c>
      <c r="G26" s="2">
        <v>29.0</v>
      </c>
      <c r="H26" s="2">
        <v>92550.0</v>
      </c>
      <c r="I26" s="2">
        <v>14812.0</v>
      </c>
      <c r="J26" s="2">
        <v>92.0</v>
      </c>
      <c r="K26" s="2">
        <v>42.0</v>
      </c>
      <c r="L26" s="2">
        <v>80.0</v>
      </c>
      <c r="M26" s="113">
        <f t="shared" si="15"/>
        <v>71.33333333</v>
      </c>
      <c r="N26" s="2">
        <v>26.0</v>
      </c>
      <c r="O26" s="2">
        <v>147.0</v>
      </c>
      <c r="P26" s="2">
        <v>128.0</v>
      </c>
      <c r="Q26" s="2">
        <v>26.0</v>
      </c>
      <c r="R26" s="2">
        <v>7.0</v>
      </c>
      <c r="S26" s="114">
        <f t="shared" si="16"/>
        <v>6.931137725</v>
      </c>
      <c r="T26" s="2">
        <v>1676.0</v>
      </c>
      <c r="U26" s="2">
        <v>32.3</v>
      </c>
      <c r="V26" s="2">
        <v>48.4</v>
      </c>
      <c r="W26" s="2">
        <v>9.8</v>
      </c>
      <c r="X26" s="2">
        <v>8.4</v>
      </c>
      <c r="Y26" s="2">
        <v>0.8</v>
      </c>
      <c r="AC26" s="39"/>
      <c r="AE26" s="2">
        <f t="shared" si="18"/>
        <v>0</v>
      </c>
      <c r="AF26" s="2">
        <v>94.0</v>
      </c>
      <c r="AG26" s="2">
        <v>96.0</v>
      </c>
      <c r="AH26" s="2">
        <v>79.0</v>
      </c>
      <c r="AI26" s="39">
        <f t="shared" si="19"/>
        <v>89.66666667</v>
      </c>
      <c r="AK26" s="2">
        <v>23.0</v>
      </c>
      <c r="AM26" s="116">
        <v>0.07026765813921379</v>
      </c>
      <c r="AN26" s="117">
        <v>0.0015987210231814548</v>
      </c>
    </row>
    <row r="27">
      <c r="A27" s="2" t="s">
        <v>321</v>
      </c>
      <c r="B27" s="2">
        <v>1380.0</v>
      </c>
      <c r="C27" s="2">
        <v>72.0</v>
      </c>
      <c r="D27" s="2">
        <v>93.0</v>
      </c>
      <c r="E27" s="2">
        <v>67.0</v>
      </c>
      <c r="F27" s="2">
        <v>83.0</v>
      </c>
      <c r="G27" s="2">
        <v>25.0</v>
      </c>
      <c r="H27" s="2">
        <v>107622.0</v>
      </c>
      <c r="I27" s="2">
        <v>12083.0</v>
      </c>
      <c r="J27" s="2">
        <v>87.0</v>
      </c>
      <c r="K27" s="2">
        <v>55.0</v>
      </c>
      <c r="L27" s="2">
        <v>71.0</v>
      </c>
      <c r="M27" s="113">
        <f t="shared" si="15"/>
        <v>71</v>
      </c>
      <c r="N27" s="2">
        <v>175.0</v>
      </c>
      <c r="O27" s="2">
        <v>259.0</v>
      </c>
      <c r="P27" s="2">
        <v>110.0</v>
      </c>
      <c r="Q27" s="2">
        <v>9.0</v>
      </c>
      <c r="R27" s="2">
        <v>2.0</v>
      </c>
      <c r="S27" s="114">
        <f t="shared" si="16"/>
        <v>8.144144144</v>
      </c>
      <c r="T27" s="2">
        <v>2699.0</v>
      </c>
      <c r="U27" s="2">
        <v>36.6</v>
      </c>
      <c r="V27" s="2">
        <v>46.6</v>
      </c>
      <c r="W27" s="2">
        <v>10.2</v>
      </c>
      <c r="X27" s="2">
        <v>5.4</v>
      </c>
      <c r="Y27" s="2">
        <v>0.9</v>
      </c>
      <c r="Z27" s="2">
        <v>80.0</v>
      </c>
      <c r="AA27" s="2">
        <v>70.0</v>
      </c>
      <c r="AB27" s="2">
        <v>62.0</v>
      </c>
      <c r="AC27" s="39">
        <f t="shared" ref="AC27:AC30" si="21">average(Z27:AB27)</f>
        <v>70.66666667</v>
      </c>
      <c r="AD27" s="2">
        <v>40.0</v>
      </c>
      <c r="AE27" s="2">
        <f t="shared" si="18"/>
        <v>1079.6</v>
      </c>
      <c r="AF27" s="2">
        <v>88.0</v>
      </c>
      <c r="AG27" s="2">
        <v>88.0</v>
      </c>
      <c r="AH27" s="2">
        <v>77.0</v>
      </c>
      <c r="AI27" s="39">
        <f t="shared" si="19"/>
        <v>84.33333333</v>
      </c>
      <c r="AJ27" s="113">
        <f t="shared" ref="AJ27:AJ30" si="22">AI27-AC27</f>
        <v>13.66666667</v>
      </c>
      <c r="AK27" s="2">
        <v>9.0</v>
      </c>
      <c r="AL27" s="2">
        <v>12.0</v>
      </c>
      <c r="AM27" s="116">
        <v>0.06519661550057483</v>
      </c>
      <c r="AN27" s="117">
        <v>0.0028205128205128203</v>
      </c>
    </row>
    <row r="28">
      <c r="A28" s="2" t="s">
        <v>322</v>
      </c>
      <c r="B28" s="2">
        <v>1360.0</v>
      </c>
      <c r="C28" s="2">
        <v>67.0</v>
      </c>
      <c r="D28" s="2">
        <v>92.0</v>
      </c>
      <c r="E28" s="2">
        <v>58.0</v>
      </c>
      <c r="F28" s="2">
        <v>92.0</v>
      </c>
      <c r="G28" s="2">
        <v>17.0</v>
      </c>
      <c r="H28" s="2">
        <v>100299.0</v>
      </c>
      <c r="I28" s="2">
        <v>17987.0</v>
      </c>
      <c r="J28" s="2">
        <v>67.0</v>
      </c>
      <c r="K28" s="2">
        <v>50.0</v>
      </c>
      <c r="L28" s="2">
        <v>58.0</v>
      </c>
      <c r="M28" s="113">
        <f t="shared" si="15"/>
        <v>58.33333333</v>
      </c>
      <c r="N28" s="2">
        <v>17.0</v>
      </c>
      <c r="O28" s="2">
        <v>43.0</v>
      </c>
      <c r="P28" s="2">
        <v>28.0</v>
      </c>
      <c r="Q28" s="2">
        <v>4.0</v>
      </c>
      <c r="R28" s="2">
        <v>3.0</v>
      </c>
      <c r="S28" s="114">
        <f t="shared" si="16"/>
        <v>7.378947368</v>
      </c>
      <c r="T28" s="2">
        <v>814.0</v>
      </c>
      <c r="U28" s="2">
        <v>60.3</v>
      </c>
      <c r="V28" s="2">
        <v>12.0</v>
      </c>
      <c r="W28" s="2">
        <v>9.6</v>
      </c>
      <c r="X28" s="2">
        <v>17.0</v>
      </c>
      <c r="Y28" s="2">
        <v>1.1</v>
      </c>
      <c r="Z28" s="2">
        <v>84.0</v>
      </c>
      <c r="AA28" s="2">
        <v>71.0</v>
      </c>
      <c r="AB28" s="2">
        <v>69.0</v>
      </c>
      <c r="AC28" s="39">
        <f t="shared" si="21"/>
        <v>74.66666667</v>
      </c>
      <c r="AD28" s="2">
        <v>12.0</v>
      </c>
      <c r="AE28" s="2">
        <f t="shared" si="18"/>
        <v>97.68</v>
      </c>
      <c r="AF28" s="2">
        <v>96.0</v>
      </c>
      <c r="AG28" s="2">
        <v>92.0</v>
      </c>
      <c r="AH28" s="2">
        <v>76.0</v>
      </c>
      <c r="AI28" s="39">
        <f t="shared" si="19"/>
        <v>88</v>
      </c>
      <c r="AJ28" s="113">
        <f t="shared" si="22"/>
        <v>13.33333333</v>
      </c>
      <c r="AK28" s="2">
        <v>13.0</v>
      </c>
      <c r="AL28" s="2">
        <v>8.0</v>
      </c>
      <c r="AM28" s="116">
        <v>0.26617526617526616</v>
      </c>
      <c r="AN28" s="117">
        <v>0.009259259259259259</v>
      </c>
    </row>
    <row r="29">
      <c r="A29" s="2" t="s">
        <v>323</v>
      </c>
      <c r="B29" s="2">
        <v>1360.0</v>
      </c>
      <c r="C29" s="2">
        <v>74.0</v>
      </c>
      <c r="D29" s="2">
        <v>100.0</v>
      </c>
      <c r="E29" s="2">
        <v>74.0</v>
      </c>
      <c r="F29" s="2">
        <v>93.0</v>
      </c>
      <c r="G29" s="2">
        <v>19.0</v>
      </c>
      <c r="H29" s="2">
        <v>87800.0</v>
      </c>
      <c r="I29" s="2">
        <v>15337.0</v>
      </c>
      <c r="J29" s="2">
        <v>84.0</v>
      </c>
      <c r="K29" s="2">
        <v>50.0</v>
      </c>
      <c r="L29" s="2">
        <v>74.0</v>
      </c>
      <c r="M29" s="113">
        <f t="shared" si="15"/>
        <v>69.33333333</v>
      </c>
      <c r="N29" s="2">
        <v>69.0</v>
      </c>
      <c r="O29" s="2">
        <v>101.0</v>
      </c>
      <c r="P29" s="2">
        <v>45.0</v>
      </c>
      <c r="Q29" s="2">
        <v>10.0</v>
      </c>
      <c r="R29" s="2">
        <v>5.0</v>
      </c>
      <c r="S29" s="114">
        <f t="shared" si="16"/>
        <v>7.882608696</v>
      </c>
      <c r="T29" s="2">
        <v>1183.0</v>
      </c>
      <c r="U29" s="2">
        <v>60.8</v>
      </c>
      <c r="V29" s="2">
        <v>22.8</v>
      </c>
      <c r="W29" s="2">
        <v>7.8</v>
      </c>
      <c r="X29" s="2">
        <v>6.6</v>
      </c>
      <c r="Y29" s="2">
        <v>1.0</v>
      </c>
      <c r="Z29" s="2">
        <v>80.0</v>
      </c>
      <c r="AA29" s="2">
        <v>72.0</v>
      </c>
      <c r="AB29" s="2">
        <v>61.0</v>
      </c>
      <c r="AC29" s="39">
        <f t="shared" si="21"/>
        <v>71</v>
      </c>
      <c r="AD29" s="2">
        <v>83.0</v>
      </c>
      <c r="AE29" s="2">
        <f t="shared" si="18"/>
        <v>981.89</v>
      </c>
      <c r="AF29" s="2">
        <v>83.0</v>
      </c>
      <c r="AG29" s="2">
        <v>68.0</v>
      </c>
      <c r="AH29" s="2">
        <v>72.0</v>
      </c>
      <c r="AI29" s="39">
        <f t="shared" si="19"/>
        <v>74.33333333</v>
      </c>
      <c r="AJ29" s="113">
        <f t="shared" si="22"/>
        <v>3.333333333</v>
      </c>
      <c r="AK29" s="2">
        <v>11.0</v>
      </c>
      <c r="AL29" s="2">
        <v>10.0</v>
      </c>
      <c r="AM29" s="116">
        <v>0.18166718571576873</v>
      </c>
      <c r="AN29" s="117">
        <v>0.013175230566534914</v>
      </c>
    </row>
    <row r="30">
      <c r="A30" s="2" t="s">
        <v>324</v>
      </c>
      <c r="B30" s="2">
        <v>1360.0</v>
      </c>
      <c r="C30" s="2">
        <v>77.0</v>
      </c>
      <c r="D30" s="2">
        <v>97.0</v>
      </c>
      <c r="E30" s="2">
        <v>77.0</v>
      </c>
      <c r="F30" s="2">
        <v>72.0</v>
      </c>
      <c r="G30" s="2">
        <v>22.0</v>
      </c>
      <c r="H30" s="2">
        <v>56548.0</v>
      </c>
      <c r="I30" s="2">
        <v>16096.0</v>
      </c>
      <c r="J30" s="2">
        <v>93.0</v>
      </c>
      <c r="K30" s="2">
        <v>53.0</v>
      </c>
      <c r="L30" s="2">
        <v>87.0</v>
      </c>
      <c r="M30" s="113">
        <f t="shared" si="15"/>
        <v>77.66666667</v>
      </c>
      <c r="N30" s="2">
        <v>187.0</v>
      </c>
      <c r="O30" s="2">
        <v>543.0</v>
      </c>
      <c r="P30" s="2">
        <v>316.0</v>
      </c>
      <c r="Q30" s="2">
        <v>28.0</v>
      </c>
      <c r="R30" s="2">
        <v>10.0</v>
      </c>
      <c r="S30" s="114">
        <f t="shared" si="16"/>
        <v>7.594095941</v>
      </c>
      <c r="T30" s="2">
        <v>2652.0</v>
      </c>
      <c r="U30" s="2">
        <v>17.7</v>
      </c>
      <c r="V30" s="2">
        <v>55.0</v>
      </c>
      <c r="W30" s="2">
        <v>14.1</v>
      </c>
      <c r="X30" s="2">
        <v>10.7</v>
      </c>
      <c r="Y30" s="2">
        <v>1.9</v>
      </c>
      <c r="Z30" s="2">
        <v>96.0</v>
      </c>
      <c r="AA30" s="2">
        <v>85.0</v>
      </c>
      <c r="AB30" s="2">
        <v>82.0</v>
      </c>
      <c r="AC30" s="39">
        <f t="shared" si="21"/>
        <v>87.66666667</v>
      </c>
      <c r="AD30" s="2">
        <v>52.0</v>
      </c>
      <c r="AE30" s="2">
        <f t="shared" si="18"/>
        <v>1379.04</v>
      </c>
      <c r="AF30" s="2">
        <v>99.0</v>
      </c>
      <c r="AG30" s="2">
        <v>94.0</v>
      </c>
      <c r="AH30" s="2">
        <v>88.0</v>
      </c>
      <c r="AI30" s="39">
        <f t="shared" si="19"/>
        <v>93.66666667</v>
      </c>
      <c r="AJ30" s="113">
        <f t="shared" si="22"/>
        <v>6</v>
      </c>
      <c r="AK30" s="2">
        <v>6.0</v>
      </c>
      <c r="AL30" s="2">
        <v>1.0</v>
      </c>
      <c r="AM30" s="116">
        <v>0.10558069381598795</v>
      </c>
      <c r="AN30" s="117">
        <v>0.004936530324400564</v>
      </c>
    </row>
    <row r="31">
      <c r="A31" s="2" t="s">
        <v>325</v>
      </c>
      <c r="B31" s="2">
        <v>1360.0</v>
      </c>
      <c r="C31" s="2">
        <v>60.0</v>
      </c>
      <c r="D31" s="2">
        <v>97.0</v>
      </c>
      <c r="E31" s="2">
        <v>76.0</v>
      </c>
      <c r="F31" s="2">
        <v>68.0</v>
      </c>
      <c r="G31" s="2">
        <v>20.0</v>
      </c>
      <c r="H31" s="2">
        <v>93035.0</v>
      </c>
      <c r="I31" s="2">
        <v>18926.0</v>
      </c>
      <c r="J31" s="2">
        <v>81.0</v>
      </c>
      <c r="K31" s="2">
        <v>43.0</v>
      </c>
      <c r="L31" s="2">
        <v>74.0</v>
      </c>
      <c r="M31" s="113">
        <f t="shared" si="15"/>
        <v>66</v>
      </c>
      <c r="N31" s="2">
        <v>47.0</v>
      </c>
      <c r="O31" s="2">
        <v>136.0</v>
      </c>
      <c r="P31" s="2">
        <v>101.0</v>
      </c>
      <c r="Q31" s="2">
        <v>13.0</v>
      </c>
      <c r="R31" s="2">
        <v>4.0</v>
      </c>
      <c r="S31" s="114">
        <f t="shared" si="16"/>
        <v>7.375415282</v>
      </c>
      <c r="T31" s="2">
        <v>1187.0</v>
      </c>
      <c r="U31" s="2">
        <v>31.3</v>
      </c>
      <c r="V31" s="2">
        <v>30.9</v>
      </c>
      <c r="W31" s="2">
        <v>16.0</v>
      </c>
      <c r="X31" s="2">
        <v>16.8</v>
      </c>
      <c r="Y31" s="2">
        <v>4.6</v>
      </c>
      <c r="AC31" s="39"/>
      <c r="AE31" s="2">
        <f t="shared" si="18"/>
        <v>0</v>
      </c>
      <c r="AI31" s="39"/>
      <c r="AL31" s="2">
        <v>23.0</v>
      </c>
      <c r="AM31" s="116">
        <v>0.10087708536109909</v>
      </c>
      <c r="AN31" s="117">
        <v>0.002442002442002442</v>
      </c>
    </row>
    <row r="32">
      <c r="A32" s="2" t="s">
        <v>326</v>
      </c>
      <c r="B32" s="2">
        <v>1360.0</v>
      </c>
      <c r="C32" s="2">
        <v>80.0</v>
      </c>
      <c r="D32" s="2">
        <v>92.0</v>
      </c>
      <c r="E32" s="2">
        <v>79.0</v>
      </c>
      <c r="F32" s="2">
        <v>89.0</v>
      </c>
      <c r="G32" s="2">
        <v>19.0</v>
      </c>
      <c r="H32" s="2">
        <v>126499.0</v>
      </c>
      <c r="I32" s="2">
        <v>23719.0</v>
      </c>
      <c r="J32" s="2">
        <v>91.0</v>
      </c>
      <c r="K32" s="2">
        <v>53.0</v>
      </c>
      <c r="L32" s="2">
        <v>65.0</v>
      </c>
      <c r="M32" s="113">
        <f t="shared" si="15"/>
        <v>69.66666667</v>
      </c>
      <c r="N32" s="2">
        <v>62.0</v>
      </c>
      <c r="O32" s="2">
        <v>158.0</v>
      </c>
      <c r="P32" s="2">
        <v>71.0</v>
      </c>
      <c r="Q32" s="2">
        <v>7.0</v>
      </c>
      <c r="R32" s="2">
        <v>1.0</v>
      </c>
      <c r="S32" s="114">
        <f t="shared" si="16"/>
        <v>7.822742475</v>
      </c>
      <c r="T32" s="2">
        <v>2316.0</v>
      </c>
      <c r="U32" s="2">
        <v>37.7</v>
      </c>
      <c r="V32" s="2">
        <v>26.2</v>
      </c>
      <c r="W32" s="2">
        <v>23.0</v>
      </c>
      <c r="X32" s="2">
        <v>10.4</v>
      </c>
      <c r="Y32" s="2">
        <v>1.6</v>
      </c>
      <c r="Z32" s="2">
        <v>84.0</v>
      </c>
      <c r="AA32" s="2">
        <v>72.0</v>
      </c>
      <c r="AB32" s="2">
        <v>72.0</v>
      </c>
      <c r="AC32" s="39">
        <f t="shared" ref="AC32:AC38" si="23">average(Z32:AB32)</f>
        <v>76</v>
      </c>
      <c r="AD32" s="2">
        <v>22.0</v>
      </c>
      <c r="AE32" s="2">
        <f t="shared" si="18"/>
        <v>509.52</v>
      </c>
      <c r="AF32" s="2">
        <v>90.0</v>
      </c>
      <c r="AG32" s="2">
        <v>90.0</v>
      </c>
      <c r="AH32" s="2">
        <v>90.0</v>
      </c>
      <c r="AI32" s="39">
        <f t="shared" ref="AI32:AI38" si="24">average(AF32:AH32)</f>
        <v>90</v>
      </c>
      <c r="AJ32" s="113">
        <f t="shared" ref="AJ32:AJ38" si="25">AI32-AC32</f>
        <v>14</v>
      </c>
      <c r="AK32" s="2">
        <v>7.0</v>
      </c>
      <c r="AL32" s="2">
        <v>16.0</v>
      </c>
      <c r="AM32" s="116">
        <v>0.09723265962636292</v>
      </c>
      <c r="AN32" s="117">
        <v>0.0029239766081871343</v>
      </c>
    </row>
    <row r="33">
      <c r="A33" s="2" t="s">
        <v>327</v>
      </c>
      <c r="B33" s="2">
        <v>1360.0</v>
      </c>
      <c r="C33" s="2">
        <v>80.0</v>
      </c>
      <c r="D33" s="2">
        <v>87.0</v>
      </c>
      <c r="E33" s="2">
        <v>76.0</v>
      </c>
      <c r="F33" s="2">
        <v>85.0</v>
      </c>
      <c r="G33" s="2">
        <v>24.0</v>
      </c>
      <c r="H33" s="2">
        <v>107622.0</v>
      </c>
      <c r="I33" s="2">
        <v>12083.0</v>
      </c>
      <c r="J33" s="2"/>
      <c r="K33" s="2"/>
      <c r="L33" s="2"/>
      <c r="M33" s="113" t="str">
        <f t="shared" si="15"/>
        <v>#DIV/0!</v>
      </c>
      <c r="N33" s="2">
        <v>77.0</v>
      </c>
      <c r="O33" s="2">
        <v>216.0</v>
      </c>
      <c r="P33" s="2">
        <v>115.0</v>
      </c>
      <c r="Q33" s="2">
        <v>9.0</v>
      </c>
      <c r="R33" s="2">
        <v>3.0</v>
      </c>
      <c r="S33" s="114">
        <f t="shared" si="16"/>
        <v>7.683333333</v>
      </c>
      <c r="T33" s="2">
        <v>2202.0</v>
      </c>
      <c r="U33" s="2">
        <v>32.3</v>
      </c>
      <c r="V33" s="2">
        <v>47.3</v>
      </c>
      <c r="W33" s="2">
        <v>10.3</v>
      </c>
      <c r="X33" s="2">
        <v>6.9</v>
      </c>
      <c r="Y33" s="2">
        <v>2.0</v>
      </c>
      <c r="Z33" s="2">
        <v>82.0</v>
      </c>
      <c r="AA33" s="2">
        <v>72.0</v>
      </c>
      <c r="AB33" s="2">
        <v>58.0</v>
      </c>
      <c r="AC33" s="39">
        <f t="shared" si="23"/>
        <v>70.66666667</v>
      </c>
      <c r="AD33" s="2">
        <v>39.0</v>
      </c>
      <c r="AE33" s="2">
        <f t="shared" si="18"/>
        <v>858.78</v>
      </c>
      <c r="AF33" s="2">
        <v>92.0</v>
      </c>
      <c r="AG33" s="2">
        <v>86.0</v>
      </c>
      <c r="AH33" s="2">
        <v>71.0</v>
      </c>
      <c r="AI33" s="39">
        <f t="shared" si="24"/>
        <v>83</v>
      </c>
      <c r="AJ33" s="113">
        <f t="shared" si="25"/>
        <v>12.33333333</v>
      </c>
      <c r="AK33" s="2">
        <v>8.0</v>
      </c>
      <c r="AL33" s="2">
        <v>11.0</v>
      </c>
      <c r="AM33" s="116">
        <v>0.05760667315701852</v>
      </c>
      <c r="AN33" s="117">
        <v>0.0028735632183908046</v>
      </c>
    </row>
    <row r="34">
      <c r="A34" s="2" t="s">
        <v>23</v>
      </c>
      <c r="B34" s="2">
        <v>1350.0</v>
      </c>
      <c r="C34" s="2">
        <v>75.0</v>
      </c>
      <c r="D34" s="2">
        <v>97.0</v>
      </c>
      <c r="E34" s="2">
        <v>74.0</v>
      </c>
      <c r="F34" s="2">
        <v>94.0</v>
      </c>
      <c r="G34" s="2">
        <v>22.0</v>
      </c>
      <c r="H34" s="2">
        <v>109507.0</v>
      </c>
      <c r="I34" s="2">
        <v>22373.0</v>
      </c>
      <c r="J34" s="2">
        <v>84.0</v>
      </c>
      <c r="K34" s="2">
        <v>50.0</v>
      </c>
      <c r="L34" s="2">
        <v>71.0</v>
      </c>
      <c r="M34" s="113">
        <f t="shared" si="15"/>
        <v>68.33333333</v>
      </c>
      <c r="N34" s="2">
        <v>92.0</v>
      </c>
      <c r="O34" s="2">
        <v>113.0</v>
      </c>
      <c r="P34" s="2">
        <v>48.0</v>
      </c>
      <c r="Q34" s="2">
        <v>9.0</v>
      </c>
      <c r="R34" s="2">
        <v>4.0</v>
      </c>
      <c r="S34" s="114">
        <f t="shared" si="16"/>
        <v>8.090225564</v>
      </c>
      <c r="T34" s="2">
        <v>2127.0</v>
      </c>
      <c r="U34" s="2">
        <v>57.8</v>
      </c>
      <c r="V34" s="2">
        <v>16.7</v>
      </c>
      <c r="W34" s="2">
        <v>9.7</v>
      </c>
      <c r="X34" s="2">
        <v>14.1</v>
      </c>
      <c r="Y34" s="2">
        <v>0.3</v>
      </c>
      <c r="Z34" s="2">
        <v>85.0</v>
      </c>
      <c r="AA34" s="2">
        <v>66.0</v>
      </c>
      <c r="AB34" s="2">
        <v>60.0</v>
      </c>
      <c r="AC34" s="39">
        <f t="shared" si="23"/>
        <v>70.33333333</v>
      </c>
      <c r="AD34" s="2">
        <v>13.0</v>
      </c>
      <c r="AE34" s="2">
        <f t="shared" si="18"/>
        <v>276.51</v>
      </c>
      <c r="AF34" s="2">
        <v>96.0</v>
      </c>
      <c r="AG34" s="2">
        <v>84.0</v>
      </c>
      <c r="AH34" s="2">
        <v>80.0</v>
      </c>
      <c r="AI34" s="39">
        <f t="shared" si="24"/>
        <v>86.66666667</v>
      </c>
      <c r="AJ34" s="113">
        <f t="shared" si="25"/>
        <v>16.33333333</v>
      </c>
      <c r="AK34" s="2">
        <v>24.0</v>
      </c>
      <c r="AL34" s="2">
        <v>20.0</v>
      </c>
      <c r="AM34" s="116">
        <v>0.0844573194935939</v>
      </c>
      <c r="AN34" s="117">
        <v>0.005165289256198347</v>
      </c>
    </row>
    <row r="35">
      <c r="A35" s="2" t="s">
        <v>328</v>
      </c>
      <c r="B35" s="2">
        <v>1350.0</v>
      </c>
      <c r="C35" s="2">
        <v>85.0</v>
      </c>
      <c r="D35" s="2">
        <v>76.0</v>
      </c>
      <c r="E35" s="2">
        <v>81.0</v>
      </c>
      <c r="F35" s="2">
        <v>71.0</v>
      </c>
      <c r="G35" s="2">
        <v>21.0</v>
      </c>
      <c r="H35" s="2">
        <v>95911.0</v>
      </c>
      <c r="I35" s="2">
        <v>25315.0</v>
      </c>
      <c r="J35" s="2">
        <v>91.0</v>
      </c>
      <c r="K35" s="2">
        <v>47.0</v>
      </c>
      <c r="L35" s="2">
        <v>70.0</v>
      </c>
      <c r="M35" s="113">
        <f t="shared" si="15"/>
        <v>69.33333333</v>
      </c>
      <c r="N35" s="2">
        <v>69.0</v>
      </c>
      <c r="O35" s="2">
        <v>166.0</v>
      </c>
      <c r="P35" s="2">
        <v>86.0</v>
      </c>
      <c r="Q35" s="2">
        <v>7.0</v>
      </c>
      <c r="R35" s="2">
        <v>0.0</v>
      </c>
      <c r="S35" s="114">
        <f t="shared" si="16"/>
        <v>7.81097561</v>
      </c>
      <c r="T35" s="2">
        <v>2302.0</v>
      </c>
      <c r="U35" s="2">
        <v>48.2</v>
      </c>
      <c r="V35" s="2">
        <v>30.3</v>
      </c>
      <c r="W35" s="2">
        <v>13.8</v>
      </c>
      <c r="X35" s="2">
        <v>5.3</v>
      </c>
      <c r="Y35" s="2">
        <v>1.1</v>
      </c>
      <c r="Z35" s="2">
        <v>87.0</v>
      </c>
      <c r="AA35" s="2">
        <v>69.0</v>
      </c>
      <c r="AB35" s="2">
        <v>71.0</v>
      </c>
      <c r="AC35" s="39">
        <f t="shared" si="23"/>
        <v>75.66666667</v>
      </c>
      <c r="AD35" s="2">
        <v>21.0</v>
      </c>
      <c r="AE35" s="2">
        <f t="shared" si="18"/>
        <v>483.42</v>
      </c>
      <c r="AF35" s="2">
        <v>96.0</v>
      </c>
      <c r="AG35" s="2">
        <v>88.0</v>
      </c>
      <c r="AH35" s="2">
        <v>83.0</v>
      </c>
      <c r="AI35" s="39">
        <f t="shared" si="24"/>
        <v>89</v>
      </c>
      <c r="AJ35" s="113">
        <f t="shared" si="25"/>
        <v>13.33333333</v>
      </c>
      <c r="AK35" s="2">
        <v>17.0</v>
      </c>
      <c r="AL35" s="2">
        <v>15.0</v>
      </c>
      <c r="AM35" s="116">
        <v>0.0688166123302165</v>
      </c>
      <c r="AN35" s="117">
        <v>0.0022742040285899934</v>
      </c>
    </row>
    <row r="36">
      <c r="A36" s="2" t="s">
        <v>329</v>
      </c>
      <c r="B36" s="2">
        <v>1350.0</v>
      </c>
      <c r="C36" s="2">
        <v>54.0</v>
      </c>
      <c r="D36" s="2">
        <v>95.0</v>
      </c>
      <c r="E36" s="2">
        <v>74.0</v>
      </c>
      <c r="F36" s="2">
        <v>60.0</v>
      </c>
      <c r="G36" s="2">
        <v>26.0</v>
      </c>
      <c r="H36" s="2">
        <v>79744.0</v>
      </c>
      <c r="I36" s="2">
        <v>14804.0</v>
      </c>
      <c r="J36" s="2"/>
      <c r="K36" s="2"/>
      <c r="L36" s="2"/>
      <c r="M36" s="113" t="str">
        <f t="shared" si="15"/>
        <v>#DIV/0!</v>
      </c>
      <c r="N36" s="2">
        <v>50.0</v>
      </c>
      <c r="O36" s="2">
        <v>267.0</v>
      </c>
      <c r="P36" s="2">
        <v>237.0</v>
      </c>
      <c r="Q36" s="2">
        <v>42.0</v>
      </c>
      <c r="R36" s="2">
        <v>8.0</v>
      </c>
      <c r="S36" s="114">
        <f t="shared" si="16"/>
        <v>7.009933775</v>
      </c>
      <c r="T36" s="2">
        <v>2896.0</v>
      </c>
      <c r="U36" s="2">
        <v>4.0</v>
      </c>
      <c r="V36" s="2">
        <v>78.0</v>
      </c>
      <c r="W36" s="2">
        <v>14.1</v>
      </c>
      <c r="X36" s="2">
        <v>2.7</v>
      </c>
      <c r="Y36" s="2">
        <v>0.8</v>
      </c>
      <c r="Z36" s="2">
        <v>86.0</v>
      </c>
      <c r="AA36" s="2">
        <v>66.0</v>
      </c>
      <c r="AB36" s="2">
        <v>67.0</v>
      </c>
      <c r="AC36" s="39">
        <f t="shared" si="23"/>
        <v>73</v>
      </c>
      <c r="AD36" s="2">
        <v>71.0</v>
      </c>
      <c r="AE36" s="2">
        <f t="shared" si="18"/>
        <v>2056.16</v>
      </c>
      <c r="AF36" s="2">
        <v>92.0</v>
      </c>
      <c r="AG36" s="2">
        <v>78.0</v>
      </c>
      <c r="AH36" s="2">
        <v>75.0</v>
      </c>
      <c r="AI36" s="39">
        <f t="shared" si="24"/>
        <v>81.66666667</v>
      </c>
      <c r="AJ36" s="113">
        <f t="shared" si="25"/>
        <v>8.666666667</v>
      </c>
      <c r="AL36" s="2">
        <v>14.0</v>
      </c>
      <c r="AM36" s="116">
        <v>0.035415781272134864</v>
      </c>
      <c r="AN36" s="117">
        <v>0.0015337423312883436</v>
      </c>
    </row>
    <row r="37">
      <c r="A37" s="2" t="s">
        <v>330</v>
      </c>
      <c r="B37" s="2">
        <v>1330.0</v>
      </c>
      <c r="C37" s="2">
        <v>86.0</v>
      </c>
      <c r="D37" s="2">
        <v>93.0</v>
      </c>
      <c r="E37" s="2">
        <v>67.0</v>
      </c>
      <c r="F37" s="2">
        <v>80.0</v>
      </c>
      <c r="G37" s="2">
        <v>22.0</v>
      </c>
      <c r="H37" s="2">
        <v>99154.0</v>
      </c>
      <c r="I37" s="2">
        <v>23005.0</v>
      </c>
      <c r="J37" s="2">
        <v>90.0</v>
      </c>
      <c r="K37" s="2">
        <v>54.0</v>
      </c>
      <c r="L37" s="2">
        <v>77.0</v>
      </c>
      <c r="M37" s="113">
        <f t="shared" si="15"/>
        <v>73.66666667</v>
      </c>
      <c r="N37" s="2">
        <v>72.0</v>
      </c>
      <c r="O37" s="2">
        <v>140.0</v>
      </c>
      <c r="P37" s="2">
        <v>68.0</v>
      </c>
      <c r="Q37" s="2">
        <v>5.0</v>
      </c>
      <c r="R37" s="2">
        <v>1.0</v>
      </c>
      <c r="S37" s="114">
        <f t="shared" si="16"/>
        <v>7.933566434</v>
      </c>
      <c r="T37" s="2">
        <v>1757.0</v>
      </c>
      <c r="U37" s="2">
        <v>30.2</v>
      </c>
      <c r="V37" s="2">
        <v>27.3</v>
      </c>
      <c r="W37" s="2">
        <v>26.6</v>
      </c>
      <c r="X37" s="2">
        <v>12.7</v>
      </c>
      <c r="Y37" s="2">
        <v>0.3</v>
      </c>
      <c r="Z37" s="2">
        <v>85.0</v>
      </c>
      <c r="AA37" s="2">
        <v>62.0</v>
      </c>
      <c r="AB37" s="2">
        <v>62.0</v>
      </c>
      <c r="AC37" s="39">
        <f t="shared" si="23"/>
        <v>69.66666667</v>
      </c>
      <c r="AD37" s="2">
        <v>23.0</v>
      </c>
      <c r="AE37" s="2">
        <f t="shared" si="18"/>
        <v>404.11</v>
      </c>
      <c r="AF37" s="2">
        <v>94.0</v>
      </c>
      <c r="AG37" s="2">
        <v>87.0</v>
      </c>
      <c r="AH37" s="2">
        <v>84.0</v>
      </c>
      <c r="AI37" s="39">
        <f t="shared" si="24"/>
        <v>88.33333333</v>
      </c>
      <c r="AJ37" s="113">
        <f t="shared" si="25"/>
        <v>18.66666667</v>
      </c>
      <c r="AK37" s="2">
        <v>14.0</v>
      </c>
      <c r="AL37" s="2">
        <v>22.0</v>
      </c>
      <c r="AM37" s="116">
        <v>0.09381625773202325</v>
      </c>
      <c r="AN37" s="117">
        <v>0.0047169811320754715</v>
      </c>
    </row>
    <row r="38">
      <c r="A38" s="2" t="s">
        <v>331</v>
      </c>
      <c r="B38" s="2">
        <v>1330.0</v>
      </c>
      <c r="C38" s="2">
        <v>63.0</v>
      </c>
      <c r="D38" s="2">
        <v>97.0</v>
      </c>
      <c r="E38" s="2">
        <v>60.0</v>
      </c>
      <c r="F38" s="2">
        <v>90.0</v>
      </c>
      <c r="G38" s="2">
        <v>21.0</v>
      </c>
      <c r="H38" s="2">
        <v>99154.0</v>
      </c>
      <c r="I38" s="2">
        <v>23005.0</v>
      </c>
      <c r="J38" s="2">
        <v>90.0</v>
      </c>
      <c r="K38" s="2">
        <v>59.0</v>
      </c>
      <c r="L38" s="2">
        <v>73.0</v>
      </c>
      <c r="M38" s="113">
        <f t="shared" si="15"/>
        <v>74</v>
      </c>
      <c r="N38" s="2">
        <v>56.0</v>
      </c>
      <c r="O38" s="2">
        <v>115.0</v>
      </c>
      <c r="P38" s="2">
        <v>58.0</v>
      </c>
      <c r="Q38" s="2">
        <v>12.0</v>
      </c>
      <c r="R38" s="2">
        <v>4.0</v>
      </c>
      <c r="S38" s="114">
        <f t="shared" si="16"/>
        <v>7.673469388</v>
      </c>
      <c r="T38" s="2">
        <v>1530.0</v>
      </c>
      <c r="U38" s="2">
        <v>44.4</v>
      </c>
      <c r="V38" s="2">
        <v>23.5</v>
      </c>
      <c r="W38" s="2">
        <v>21.3</v>
      </c>
      <c r="X38" s="2">
        <v>9.7</v>
      </c>
      <c r="Y38" s="2">
        <v>0.7</v>
      </c>
      <c r="Z38" s="2">
        <v>84.0</v>
      </c>
      <c r="AA38" s="2">
        <v>60.0</v>
      </c>
      <c r="AB38" s="2">
        <v>61.0</v>
      </c>
      <c r="AC38" s="39">
        <f t="shared" si="23"/>
        <v>68.33333333</v>
      </c>
      <c r="AD38" s="2">
        <v>90.0</v>
      </c>
      <c r="AE38" s="2">
        <f t="shared" si="18"/>
        <v>1377</v>
      </c>
      <c r="AF38" s="2">
        <v>86.0</v>
      </c>
      <c r="AG38" s="2">
        <v>79.0</v>
      </c>
      <c r="AH38" s="2">
        <v>72.0</v>
      </c>
      <c r="AI38" s="39">
        <f t="shared" si="24"/>
        <v>79</v>
      </c>
      <c r="AJ38" s="113">
        <f t="shared" si="25"/>
        <v>10.66666667</v>
      </c>
      <c r="AK38" s="2">
        <v>16.0</v>
      </c>
      <c r="AM38" s="116">
        <v>0.0917813934084272</v>
      </c>
      <c r="AN38" s="117">
        <v>0.002637130801687764</v>
      </c>
    </row>
    <row r="39">
      <c r="A39" s="2" t="s">
        <v>332</v>
      </c>
      <c r="B39" s="2">
        <v>1330.0</v>
      </c>
      <c r="C39" s="2">
        <v>72.0</v>
      </c>
      <c r="D39" s="2">
        <v>79.0</v>
      </c>
      <c r="E39" s="2">
        <v>58.0</v>
      </c>
      <c r="F39" s="2">
        <v>58.0</v>
      </c>
      <c r="G39" s="2">
        <v>19.0</v>
      </c>
      <c r="H39" s="2">
        <v>99154.0</v>
      </c>
      <c r="I39" s="2">
        <v>23005.0</v>
      </c>
      <c r="J39" s="2"/>
      <c r="K39" s="2"/>
      <c r="L39" s="2"/>
      <c r="M39" s="113" t="str">
        <f t="shared" si="15"/>
        <v>#DIV/0!</v>
      </c>
      <c r="N39" s="2">
        <v>50.0</v>
      </c>
      <c r="O39" s="2">
        <v>134.0</v>
      </c>
      <c r="P39" s="2">
        <v>87.0</v>
      </c>
      <c r="Q39" s="2">
        <v>5.0</v>
      </c>
      <c r="R39" s="2">
        <v>3.0</v>
      </c>
      <c r="S39" s="114">
        <f t="shared" si="16"/>
        <v>7.58781362</v>
      </c>
      <c r="T39" s="2">
        <v>1156.0</v>
      </c>
      <c r="U39" s="2">
        <v>13.8</v>
      </c>
      <c r="V39" s="2">
        <v>56.7</v>
      </c>
      <c r="W39" s="2">
        <v>18.3</v>
      </c>
      <c r="X39" s="2">
        <v>9.0</v>
      </c>
      <c r="Y39" s="2">
        <v>0.5</v>
      </c>
      <c r="AC39" s="39"/>
      <c r="AE39" s="2">
        <f t="shared" si="18"/>
        <v>0</v>
      </c>
      <c r="AI39" s="39"/>
      <c r="AK39" s="2">
        <v>18.0</v>
      </c>
      <c r="AL39" s="2">
        <v>21.0</v>
      </c>
      <c r="AM39" s="116">
        <v>0.054923930356456305</v>
      </c>
      <c r="AN39" s="117">
        <v>0.001597444089456869</v>
      </c>
    </row>
    <row r="40">
      <c r="A40" s="2" t="s">
        <v>27</v>
      </c>
      <c r="B40" s="2">
        <v>1320.0</v>
      </c>
      <c r="C40" s="2">
        <v>72.0</v>
      </c>
      <c r="D40" s="2">
        <v>75.0</v>
      </c>
      <c r="E40" s="2">
        <v>69.0</v>
      </c>
      <c r="F40" s="2">
        <v>67.0</v>
      </c>
      <c r="G40" s="2">
        <v>23.0</v>
      </c>
      <c r="H40" s="2">
        <v>91623.0</v>
      </c>
      <c r="I40" s="2">
        <v>16725.0</v>
      </c>
      <c r="J40" s="2">
        <v>83.0</v>
      </c>
      <c r="K40" s="2">
        <v>50.0</v>
      </c>
      <c r="L40" s="2">
        <v>61.0</v>
      </c>
      <c r="M40" s="113">
        <f t="shared" si="15"/>
        <v>64.66666667</v>
      </c>
      <c r="N40" s="2">
        <v>30.0</v>
      </c>
      <c r="O40" s="2">
        <v>150.0</v>
      </c>
      <c r="P40" s="2">
        <v>128.0</v>
      </c>
      <c r="Q40" s="2">
        <v>21.0</v>
      </c>
      <c r="R40" s="2">
        <v>4.0</v>
      </c>
      <c r="S40" s="114">
        <f t="shared" si="16"/>
        <v>7.075075075</v>
      </c>
      <c r="T40" s="2">
        <v>1767.0</v>
      </c>
      <c r="U40" s="2">
        <v>46.1</v>
      </c>
      <c r="V40" s="2">
        <v>26.2</v>
      </c>
      <c r="W40" s="2">
        <v>16.2</v>
      </c>
      <c r="X40" s="2">
        <v>10.4</v>
      </c>
      <c r="Y40" s="2">
        <v>0.6</v>
      </c>
      <c r="AC40" s="39"/>
      <c r="AE40" s="2">
        <f t="shared" si="18"/>
        <v>0</v>
      </c>
      <c r="AI40" s="39"/>
      <c r="AL40" s="2">
        <v>24.0</v>
      </c>
      <c r="AM40" s="116">
        <v>0.07992154728115536</v>
      </c>
    </row>
    <row r="41">
      <c r="A41" s="2" t="s">
        <v>188</v>
      </c>
      <c r="B41" s="2">
        <v>1310.0</v>
      </c>
      <c r="C41" s="2">
        <v>85.0</v>
      </c>
      <c r="D41" s="2">
        <v>90.0</v>
      </c>
      <c r="E41" s="2">
        <v>70.0</v>
      </c>
      <c r="F41" s="2">
        <v>93.0</v>
      </c>
      <c r="G41" s="2">
        <v>17.0</v>
      </c>
      <c r="H41" s="2">
        <v>95911.0</v>
      </c>
      <c r="I41" s="2">
        <v>25315.0</v>
      </c>
      <c r="J41" s="2">
        <v>86.0</v>
      </c>
      <c r="K41" s="2">
        <v>64.0</v>
      </c>
      <c r="L41" s="2">
        <v>64.0</v>
      </c>
      <c r="M41" s="113">
        <f t="shared" si="15"/>
        <v>71.33333333</v>
      </c>
      <c r="N41" s="2">
        <v>39.0</v>
      </c>
      <c r="O41" s="2">
        <v>141.0</v>
      </c>
      <c r="P41" s="2">
        <v>86.0</v>
      </c>
      <c r="Q41" s="2">
        <v>16.0</v>
      </c>
      <c r="R41" s="2">
        <v>3.0</v>
      </c>
      <c r="S41" s="114">
        <f t="shared" si="16"/>
        <v>7.371929825</v>
      </c>
      <c r="T41" s="2">
        <v>2221.0</v>
      </c>
      <c r="U41" s="2">
        <v>39.7</v>
      </c>
      <c r="V41" s="2">
        <v>8.1</v>
      </c>
      <c r="W41" s="2">
        <v>38.8</v>
      </c>
      <c r="X41" s="2">
        <v>4.1</v>
      </c>
      <c r="Y41" s="2">
        <v>4.7</v>
      </c>
      <c r="Z41" s="2">
        <v>70.0</v>
      </c>
      <c r="AA41" s="2">
        <v>52.0</v>
      </c>
      <c r="AB41" s="2">
        <v>44.0</v>
      </c>
      <c r="AC41" s="39">
        <f>average(Z41:AB41)</f>
        <v>55.33333333</v>
      </c>
      <c r="AD41" s="2">
        <v>6.0</v>
      </c>
      <c r="AE41" s="2">
        <f t="shared" si="18"/>
        <v>133.26</v>
      </c>
      <c r="AF41" s="2">
        <v>91.0</v>
      </c>
      <c r="AG41" s="2">
        <v>93.0</v>
      </c>
      <c r="AH41" s="2">
        <v>79.0</v>
      </c>
      <c r="AI41" s="39">
        <f>average(AF41:AH41)</f>
        <v>87.66666667</v>
      </c>
      <c r="AJ41" s="113">
        <f>AI41-AC41</f>
        <v>32.33333333</v>
      </c>
      <c r="AK41" s="2">
        <v>25.0</v>
      </c>
      <c r="AM41" s="116">
        <v>0.1222894814370126</v>
      </c>
      <c r="AN41" s="117">
        <v>0.006172839506172839</v>
      </c>
    </row>
    <row r="42">
      <c r="A42" s="2" t="s">
        <v>333</v>
      </c>
      <c r="B42" s="2">
        <v>1300.0</v>
      </c>
      <c r="C42" s="2">
        <v>67.0</v>
      </c>
      <c r="D42" s="2">
        <v>72.0</v>
      </c>
      <c r="E42" s="2">
        <v>93.0</v>
      </c>
      <c r="F42" s="2">
        <v>84.0</v>
      </c>
      <c r="G42" s="2">
        <v>19.0</v>
      </c>
      <c r="H42" s="2">
        <v>93501.0</v>
      </c>
      <c r="I42" s="2">
        <v>18819.0</v>
      </c>
      <c r="J42" s="2">
        <v>94.0</v>
      </c>
      <c r="K42" s="2">
        <v>51.0</v>
      </c>
      <c r="L42" s="2">
        <v>79.0</v>
      </c>
      <c r="M42" s="113">
        <f t="shared" si="15"/>
        <v>74.66666667</v>
      </c>
      <c r="N42" s="2">
        <v>109.0</v>
      </c>
      <c r="O42" s="2">
        <v>248.0</v>
      </c>
      <c r="P42" s="2">
        <v>171.0</v>
      </c>
      <c r="Q42" s="2">
        <v>14.0</v>
      </c>
      <c r="R42" s="2">
        <v>2.0</v>
      </c>
      <c r="S42" s="114">
        <f t="shared" si="16"/>
        <v>7.643382353</v>
      </c>
      <c r="T42" s="2">
        <v>3222.0</v>
      </c>
      <c r="U42" s="2">
        <v>43.4</v>
      </c>
      <c r="V42" s="2">
        <v>7.8</v>
      </c>
      <c r="W42" s="2">
        <v>20.9</v>
      </c>
      <c r="X42" s="2">
        <v>15.1</v>
      </c>
      <c r="Y42" s="2">
        <v>12.4</v>
      </c>
      <c r="AC42" s="39"/>
      <c r="AE42" s="2">
        <f t="shared" si="18"/>
        <v>0</v>
      </c>
      <c r="AI42" s="39"/>
      <c r="AM42" s="116">
        <v>0.13926689904343537</v>
      </c>
      <c r="AN42" s="117">
        <v>0.004048582995951417</v>
      </c>
    </row>
    <row r="43">
      <c r="A43" s="2" t="s">
        <v>334</v>
      </c>
      <c r="B43" s="2">
        <v>1300.0</v>
      </c>
      <c r="C43" s="2">
        <v>76.0</v>
      </c>
      <c r="D43" s="2">
        <v>63.0</v>
      </c>
      <c r="E43" s="2">
        <v>83.0</v>
      </c>
      <c r="F43" s="2">
        <v>57.0</v>
      </c>
      <c r="G43" s="2">
        <v>20.0</v>
      </c>
      <c r="H43" s="2">
        <v>99154.0</v>
      </c>
      <c r="I43" s="2">
        <v>23005.0</v>
      </c>
      <c r="J43" s="2">
        <v>90.0</v>
      </c>
      <c r="K43" s="2">
        <v>56.0</v>
      </c>
      <c r="L43" s="2">
        <v>78.0</v>
      </c>
      <c r="M43" s="113">
        <f t="shared" si="15"/>
        <v>74.66666667</v>
      </c>
      <c r="N43" s="2">
        <v>89.0</v>
      </c>
      <c r="O43" s="2">
        <v>119.0</v>
      </c>
      <c r="P43" s="2">
        <v>49.0</v>
      </c>
      <c r="Q43" s="2">
        <v>8.0</v>
      </c>
      <c r="R43" s="2">
        <v>1.0</v>
      </c>
      <c r="S43" s="114">
        <f t="shared" si="16"/>
        <v>8.154135338</v>
      </c>
      <c r="T43" s="2">
        <v>1669.0</v>
      </c>
      <c r="U43" s="2">
        <v>18.6</v>
      </c>
      <c r="V43" s="2">
        <v>26.5</v>
      </c>
      <c r="W43" s="2">
        <v>45.1</v>
      </c>
      <c r="X43" s="2">
        <v>7.1</v>
      </c>
      <c r="Y43" s="2">
        <v>0.8</v>
      </c>
      <c r="Z43" s="2">
        <v>68.0</v>
      </c>
      <c r="AA43" s="2">
        <v>44.0</v>
      </c>
      <c r="AB43" s="2">
        <v>44.0</v>
      </c>
      <c r="AC43" s="39">
        <f>average(Z43:AB43)</f>
        <v>52</v>
      </c>
      <c r="AD43" s="2">
        <v>23.0</v>
      </c>
      <c r="AE43" s="2">
        <f t="shared" si="18"/>
        <v>383.87</v>
      </c>
      <c r="AF43" s="2">
        <v>91.0</v>
      </c>
      <c r="AG43" s="2">
        <v>86.0</v>
      </c>
      <c r="AH43" s="2">
        <v>69.0</v>
      </c>
      <c r="AI43" s="39">
        <f>average(AF43:AH43)</f>
        <v>82</v>
      </c>
      <c r="AJ43" s="113">
        <f>AI43-AC43</f>
        <v>30</v>
      </c>
      <c r="AK43" s="2">
        <v>20.0</v>
      </c>
      <c r="AM43" s="116">
        <v>0.07009055247182246</v>
      </c>
      <c r="AN43" s="117">
        <v>0.002857142857142857</v>
      </c>
    </row>
    <row r="44">
      <c r="A44" s="2" t="s">
        <v>28</v>
      </c>
      <c r="B44" s="2">
        <v>1300.0</v>
      </c>
      <c r="C44" s="2">
        <v>68.0</v>
      </c>
      <c r="D44" s="2">
        <v>82.0</v>
      </c>
      <c r="E44" s="2">
        <v>72.0</v>
      </c>
      <c r="F44" s="2">
        <v>85.0</v>
      </c>
      <c r="G44" s="2">
        <v>23.0</v>
      </c>
      <c r="H44" s="2">
        <v>97582.0</v>
      </c>
      <c r="I44" s="2">
        <v>14701.0</v>
      </c>
      <c r="J44" s="2"/>
      <c r="K44" s="2"/>
      <c r="L44" s="2"/>
      <c r="M44" s="113" t="str">
        <f t="shared" si="15"/>
        <v>#DIV/0!</v>
      </c>
      <c r="N44" s="2">
        <v>57.0</v>
      </c>
      <c r="O44" s="2">
        <v>332.0</v>
      </c>
      <c r="P44" s="2">
        <v>335.0</v>
      </c>
      <c r="Q44" s="2">
        <v>30.0</v>
      </c>
      <c r="R44" s="2">
        <v>7.0</v>
      </c>
      <c r="S44" s="114">
        <f t="shared" si="16"/>
        <v>7.047306176</v>
      </c>
      <c r="T44" s="2"/>
      <c r="U44" s="2">
        <v>3.7</v>
      </c>
      <c r="V44" s="2">
        <v>68.5</v>
      </c>
      <c r="W44" s="2">
        <v>19.8</v>
      </c>
      <c r="X44" s="2">
        <v>5.2</v>
      </c>
      <c r="Y44" s="2">
        <v>2.0</v>
      </c>
      <c r="AC44" s="39"/>
      <c r="AE44" s="2">
        <f t="shared" si="18"/>
        <v>0</v>
      </c>
      <c r="AI44" s="39"/>
      <c r="AL44" s="2"/>
      <c r="AM44" s="116">
        <v>0.01883979055666986</v>
      </c>
    </row>
    <row r="45">
      <c r="A45" s="2" t="s">
        <v>335</v>
      </c>
      <c r="B45" s="2">
        <v>1280.0</v>
      </c>
      <c r="C45" s="2">
        <v>86.0</v>
      </c>
      <c r="D45" s="2">
        <v>66.0</v>
      </c>
      <c r="E45" s="2">
        <v>72.0</v>
      </c>
      <c r="F45" s="2">
        <v>83.0</v>
      </c>
      <c r="G45" s="2">
        <v>18.0</v>
      </c>
      <c r="H45" s="2">
        <v>99154.0</v>
      </c>
      <c r="I45" s="2">
        <v>23005.0</v>
      </c>
      <c r="J45" s="2"/>
      <c r="K45" s="2"/>
      <c r="L45" s="2"/>
      <c r="M45" s="113" t="str">
        <f t="shared" si="15"/>
        <v>#DIV/0!</v>
      </c>
      <c r="N45" s="2">
        <v>62.0</v>
      </c>
      <c r="O45" s="2">
        <v>147.0</v>
      </c>
      <c r="P45" s="2">
        <v>83.0</v>
      </c>
      <c r="Q45" s="2">
        <v>6.0</v>
      </c>
      <c r="R45" s="2">
        <v>4.0</v>
      </c>
      <c r="S45" s="114">
        <f t="shared" si="16"/>
        <v>7.688741722</v>
      </c>
      <c r="T45" s="2"/>
      <c r="U45" s="2">
        <v>31.7</v>
      </c>
      <c r="V45" s="2">
        <v>20.3</v>
      </c>
      <c r="W45" s="2">
        <v>34.8</v>
      </c>
      <c r="X45" s="2">
        <v>10.3</v>
      </c>
      <c r="Y45" s="2">
        <v>1.5</v>
      </c>
      <c r="AC45" s="39"/>
      <c r="AE45" s="2">
        <f t="shared" si="18"/>
        <v>0</v>
      </c>
      <c r="AI45" s="39"/>
      <c r="AK45" s="2">
        <v>27.0</v>
      </c>
      <c r="AM45" s="116">
        <v>0.040815429488205913</v>
      </c>
    </row>
    <row r="46">
      <c r="A46" s="2" t="s">
        <v>336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13"/>
      <c r="N46" s="2"/>
      <c r="O46" s="2"/>
      <c r="P46" s="2"/>
      <c r="Q46" s="2"/>
      <c r="R46" s="2"/>
      <c r="S46" s="114"/>
      <c r="T46" s="2"/>
      <c r="U46" s="2"/>
      <c r="V46" s="2"/>
      <c r="W46" s="2"/>
      <c r="X46" s="2"/>
      <c r="Y46" s="2"/>
      <c r="AC46" s="39"/>
      <c r="AE46" s="2"/>
      <c r="AI46" s="39"/>
      <c r="AL46" s="2"/>
      <c r="AM46" s="116">
        <v>0.07709127607086791</v>
      </c>
    </row>
    <row r="47">
      <c r="A47" s="2" t="s">
        <v>26</v>
      </c>
      <c r="M47" s="39"/>
      <c r="AC47" s="39"/>
      <c r="AI47" s="39"/>
      <c r="AM47" s="116">
        <v>0.07699414844471819</v>
      </c>
      <c r="AN47" s="117">
        <v>0.002277904328018223</v>
      </c>
    </row>
    <row r="48">
      <c r="A48" s="2" t="s">
        <v>337</v>
      </c>
      <c r="M48" s="39"/>
      <c r="S48" s="114" t="str">
        <f>(N48*10+O48*8+P48*6+Q48*4+R48)/sum(N48:R48)</f>
        <v>#DIV/0!</v>
      </c>
      <c r="T48" s="2">
        <v>2305.0</v>
      </c>
      <c r="U48" s="2">
        <v>50.1</v>
      </c>
      <c r="V48" s="2">
        <v>29.9</v>
      </c>
      <c r="W48" s="2">
        <v>9.0</v>
      </c>
      <c r="X48" s="2">
        <v>9.8</v>
      </c>
      <c r="AC48" s="39"/>
      <c r="AE48" s="2">
        <f>AD48*T48/100</f>
        <v>0</v>
      </c>
      <c r="AI48" s="39"/>
      <c r="AK48" s="2">
        <v>21.0</v>
      </c>
      <c r="AL48" s="2">
        <v>19.0</v>
      </c>
      <c r="AM48" s="116">
        <v>0.0754503442421956</v>
      </c>
      <c r="AN48" s="117">
        <v>0.002583979328165375</v>
      </c>
    </row>
    <row r="49">
      <c r="A49" s="2" t="s">
        <v>338</v>
      </c>
      <c r="M49" s="39"/>
      <c r="AC49" s="39"/>
      <c r="AI49" s="39"/>
      <c r="AM49" s="116">
        <v>0.07166998611865531</v>
      </c>
    </row>
    <row r="50">
      <c r="A50" s="2" t="s">
        <v>339</v>
      </c>
      <c r="M50" s="39"/>
      <c r="AC50" s="39"/>
      <c r="AI50" s="39"/>
      <c r="AM50" s="116">
        <v>0.05651604284943613</v>
      </c>
    </row>
    <row r="51">
      <c r="A51" s="2" t="s">
        <v>340</v>
      </c>
      <c r="M51" s="39"/>
      <c r="S51" s="114" t="str">
        <f>(N51*10+O51*8+P51*6+Q51*4+R51)/sum(N51:R51)</f>
        <v>#DIV/0!</v>
      </c>
      <c r="AC51" s="39"/>
      <c r="AD51" s="2">
        <v>91.0</v>
      </c>
      <c r="AE51" s="2">
        <f t="shared" ref="AE51:AE53" si="26">AD51*T51/100</f>
        <v>0</v>
      </c>
      <c r="AF51" s="2">
        <v>81.0</v>
      </c>
      <c r="AG51" s="2">
        <v>62.0</v>
      </c>
      <c r="AH51" s="2">
        <v>72.0</v>
      </c>
      <c r="AI51" s="39">
        <f>average(AF51:AH51)</f>
        <v>71.66666667</v>
      </c>
      <c r="AJ51" s="113">
        <f>AI51-AC51</f>
        <v>71.66666667</v>
      </c>
      <c r="AL51" s="2">
        <v>25.0</v>
      </c>
      <c r="AM51" s="116">
        <v>0.05324365980103685</v>
      </c>
    </row>
    <row r="52">
      <c r="A52" s="2" t="s">
        <v>341</v>
      </c>
      <c r="M52" s="39"/>
      <c r="T52" s="2">
        <v>2043.0</v>
      </c>
      <c r="U52" s="2">
        <v>69.8</v>
      </c>
      <c r="V52" s="2">
        <v>11.3</v>
      </c>
      <c r="W52" s="2">
        <v>9.6</v>
      </c>
      <c r="X52" s="2">
        <v>7.5</v>
      </c>
      <c r="AC52" s="39"/>
      <c r="AE52" s="2">
        <f t="shared" si="26"/>
        <v>0</v>
      </c>
      <c r="AM52" s="116">
        <v>0.0389848348992242</v>
      </c>
      <c r="AN52" s="117">
        <v>0.0023724792408066427</v>
      </c>
    </row>
    <row r="53">
      <c r="A53" s="2" t="s">
        <v>25</v>
      </c>
      <c r="M53" s="39"/>
      <c r="S53" s="114" t="str">
        <f>(N53*10+O53*8+P53*6+Q53*4+R53)/sum(N53:R53)</f>
        <v>#DIV/0!</v>
      </c>
      <c r="AC53" s="39"/>
      <c r="AE53" s="2">
        <f t="shared" si="26"/>
        <v>0</v>
      </c>
      <c r="AF53" s="2">
        <v>90.0</v>
      </c>
      <c r="AG53" s="2">
        <v>86.0</v>
      </c>
      <c r="AH53" s="2">
        <v>70.0</v>
      </c>
      <c r="AI53" s="39">
        <f>average(AF53:AH53)</f>
        <v>82</v>
      </c>
      <c r="AK53" s="2">
        <v>22.0</v>
      </c>
      <c r="AN53" s="117">
        <v>0.0025584795321637425</v>
      </c>
    </row>
    <row r="54">
      <c r="A54" s="2" t="s">
        <v>342</v>
      </c>
      <c r="AN54" s="117">
        <v>0.013824088474166234</v>
      </c>
    </row>
    <row r="55">
      <c r="A55" s="115" t="s">
        <v>343</v>
      </c>
      <c r="AN55" s="117">
        <v>0.006513409961685823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344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/>
      <c r="I1" s="1"/>
      <c r="J1" s="1" t="s">
        <v>350</v>
      </c>
      <c r="K1" s="1"/>
      <c r="L1" s="1"/>
      <c r="M1" s="1"/>
    </row>
    <row r="2">
      <c r="A2" s="19" t="s">
        <v>13</v>
      </c>
      <c r="B2" s="7">
        <v>0.093214019</v>
      </c>
      <c r="C2" s="7">
        <f t="shared" ref="C2:C41" si="1">K2/3</f>
        <v>0.01938851603</v>
      </c>
      <c r="D2" s="7">
        <v>13.0</v>
      </c>
      <c r="E2" s="1"/>
      <c r="F2" s="7">
        <v>26.0</v>
      </c>
      <c r="G2" s="7">
        <v>7.0</v>
      </c>
      <c r="H2" s="7">
        <f t="shared" ref="H2:H41" si="2">G2+F2</f>
        <v>33</v>
      </c>
      <c r="I2" s="7">
        <v>447.0</v>
      </c>
      <c r="J2" s="7">
        <v>26.0</v>
      </c>
      <c r="K2" s="7">
        <f t="shared" ref="K2:K41" si="3">J2/I2</f>
        <v>0.0581655481</v>
      </c>
      <c r="L2" s="7">
        <f t="shared" ref="L2:L41" si="4">H2/I2</f>
        <v>0.07382550336</v>
      </c>
      <c r="M2" s="7">
        <f>M3*1.6</f>
        <v>0.0253952</v>
      </c>
    </row>
    <row r="3">
      <c r="A3" s="25" t="s">
        <v>323</v>
      </c>
      <c r="B3" s="7">
        <v>0.083003953</v>
      </c>
      <c r="C3" s="7">
        <f t="shared" si="1"/>
        <v>0.01581027668</v>
      </c>
      <c r="D3" s="1"/>
      <c r="E3" s="1"/>
      <c r="F3" s="7">
        <v>9.0</v>
      </c>
      <c r="G3" s="7">
        <v>8.0</v>
      </c>
      <c r="H3" s="7">
        <f t="shared" si="2"/>
        <v>17</v>
      </c>
      <c r="I3" s="7">
        <v>253.0</v>
      </c>
      <c r="J3" s="7">
        <v>12.0</v>
      </c>
      <c r="K3" s="7">
        <f t="shared" si="3"/>
        <v>0.04743083004</v>
      </c>
      <c r="L3" s="7">
        <f t="shared" si="4"/>
        <v>0.06719367589</v>
      </c>
      <c r="M3" s="7">
        <f>M7*1.6</f>
        <v>0.015872</v>
      </c>
    </row>
    <row r="4">
      <c r="A4" s="25" t="s">
        <v>351</v>
      </c>
      <c r="B4" s="7">
        <v>0.077030812</v>
      </c>
      <c r="C4" s="7">
        <f t="shared" si="1"/>
        <v>0.01400560224</v>
      </c>
      <c r="D4" s="7">
        <v>8.0</v>
      </c>
      <c r="E4" s="1"/>
      <c r="F4" s="7">
        <v>16.0</v>
      </c>
      <c r="G4" s="7">
        <v>14.0</v>
      </c>
      <c r="H4" s="7">
        <f t="shared" si="2"/>
        <v>30</v>
      </c>
      <c r="I4" s="7">
        <v>476.0</v>
      </c>
      <c r="J4" s="7">
        <v>20.0</v>
      </c>
      <c r="K4" s="7">
        <f t="shared" si="3"/>
        <v>0.04201680672</v>
      </c>
      <c r="L4" s="7">
        <f t="shared" si="4"/>
        <v>0.06302521008</v>
      </c>
      <c r="M4" s="1"/>
    </row>
    <row r="5">
      <c r="A5" s="118" t="s">
        <v>16</v>
      </c>
      <c r="B5" s="7">
        <v>0.077220077</v>
      </c>
      <c r="C5" s="7">
        <f t="shared" si="1"/>
        <v>0.01351351351</v>
      </c>
      <c r="D5" s="1"/>
      <c r="E5" s="1"/>
      <c r="F5" s="7">
        <v>19.0</v>
      </c>
      <c r="G5" s="7">
        <v>14.0</v>
      </c>
      <c r="H5" s="7">
        <f t="shared" si="2"/>
        <v>33</v>
      </c>
      <c r="I5" s="7">
        <v>518.0</v>
      </c>
      <c r="J5" s="7">
        <v>21.0</v>
      </c>
      <c r="K5" s="7">
        <f t="shared" si="3"/>
        <v>0.04054054054</v>
      </c>
      <c r="L5" s="7">
        <f t="shared" si="4"/>
        <v>0.06370656371</v>
      </c>
      <c r="M5" s="1"/>
    </row>
    <row r="6">
      <c r="A6" s="25" t="s">
        <v>15</v>
      </c>
      <c r="B6" s="7">
        <v>0.07980226</v>
      </c>
      <c r="C6" s="7">
        <f t="shared" si="1"/>
        <v>0.01200564972</v>
      </c>
      <c r="D6" s="7">
        <v>10.0</v>
      </c>
      <c r="E6" s="1"/>
      <c r="F6" s="7">
        <v>15.0</v>
      </c>
      <c r="G6" s="7">
        <v>17.0</v>
      </c>
      <c r="H6" s="7">
        <f t="shared" si="2"/>
        <v>32</v>
      </c>
      <c r="I6" s="7">
        <v>472.0</v>
      </c>
      <c r="J6" s="7">
        <v>17.0</v>
      </c>
      <c r="K6" s="7">
        <f t="shared" si="3"/>
        <v>0.03601694915</v>
      </c>
      <c r="L6" s="7">
        <f t="shared" si="4"/>
        <v>0.06779661017</v>
      </c>
      <c r="M6" s="1"/>
    </row>
    <row r="7">
      <c r="A7" s="33" t="s">
        <v>322</v>
      </c>
      <c r="B7" s="7">
        <v>0.069023569</v>
      </c>
      <c r="C7" s="7">
        <f t="shared" si="1"/>
        <v>0.008417508418</v>
      </c>
      <c r="D7" s="1"/>
      <c r="E7" s="1"/>
      <c r="F7" s="7">
        <v>6.0</v>
      </c>
      <c r="G7" s="7">
        <v>6.0</v>
      </c>
      <c r="H7" s="7">
        <f t="shared" si="2"/>
        <v>12</v>
      </c>
      <c r="I7" s="7">
        <v>198.0</v>
      </c>
      <c r="J7" s="7">
        <v>5.0</v>
      </c>
      <c r="K7" s="7">
        <f t="shared" si="3"/>
        <v>0.02525252525</v>
      </c>
      <c r="L7" s="7">
        <f t="shared" si="4"/>
        <v>0.06060606061</v>
      </c>
      <c r="M7" s="7">
        <f>M10*1.6</f>
        <v>0.00992</v>
      </c>
    </row>
    <row r="8">
      <c r="A8" s="33" t="s">
        <v>352</v>
      </c>
      <c r="B8" s="7">
        <v>0.086622807</v>
      </c>
      <c r="C8" s="7">
        <f t="shared" si="1"/>
        <v>0.007675438596</v>
      </c>
      <c r="D8" s="7">
        <v>17.0</v>
      </c>
      <c r="E8" s="1"/>
      <c r="F8" s="7">
        <v>33.0</v>
      </c>
      <c r="G8" s="7">
        <v>15.0</v>
      </c>
      <c r="H8" s="7">
        <f t="shared" si="2"/>
        <v>48</v>
      </c>
      <c r="I8" s="7">
        <v>608.0</v>
      </c>
      <c r="J8" s="7">
        <v>14.0</v>
      </c>
      <c r="K8" s="7">
        <f t="shared" si="3"/>
        <v>0.02302631579</v>
      </c>
      <c r="L8" s="7">
        <f t="shared" si="4"/>
        <v>0.07894736842</v>
      </c>
      <c r="M8" s="1"/>
    </row>
    <row r="9">
      <c r="A9" s="33" t="s">
        <v>17</v>
      </c>
      <c r="B9" s="7">
        <v>0.065377532</v>
      </c>
      <c r="C9" s="7">
        <f t="shared" si="1"/>
        <v>0.007366482505</v>
      </c>
      <c r="D9" s="7">
        <v>13.0</v>
      </c>
      <c r="E9" s="1"/>
      <c r="F9" s="7">
        <v>16.0</v>
      </c>
      <c r="G9" s="7">
        <v>5.0</v>
      </c>
      <c r="H9" s="7">
        <f t="shared" si="2"/>
        <v>21</v>
      </c>
      <c r="I9" s="7">
        <v>362.0</v>
      </c>
      <c r="J9" s="7">
        <v>8.0</v>
      </c>
      <c r="K9" s="7">
        <f t="shared" si="3"/>
        <v>0.02209944751</v>
      </c>
      <c r="L9" s="7">
        <f t="shared" si="4"/>
        <v>0.05801104972</v>
      </c>
      <c r="M9" s="1"/>
    </row>
    <row r="10">
      <c r="A10" s="36" t="s">
        <v>324</v>
      </c>
      <c r="B10" s="7">
        <v>0.108133521</v>
      </c>
      <c r="C10" s="7">
        <f t="shared" si="1"/>
        <v>0.005171603197</v>
      </c>
      <c r="D10" s="1"/>
      <c r="E10" s="1"/>
      <c r="F10" s="7">
        <v>53.0</v>
      </c>
      <c r="G10" s="7">
        <v>20.0</v>
      </c>
      <c r="H10" s="7">
        <f t="shared" si="2"/>
        <v>73</v>
      </c>
      <c r="I10" s="7">
        <v>709.0</v>
      </c>
      <c r="J10" s="7">
        <v>11.0</v>
      </c>
      <c r="K10" s="7">
        <f t="shared" si="3"/>
        <v>0.01551480959</v>
      </c>
      <c r="L10" s="7">
        <f t="shared" si="4"/>
        <v>0.1029619182</v>
      </c>
      <c r="M10" s="7">
        <v>0.0062</v>
      </c>
    </row>
    <row r="11">
      <c r="A11" s="36" t="s">
        <v>188</v>
      </c>
      <c r="B11" s="7">
        <v>0.039780521</v>
      </c>
      <c r="C11" s="7">
        <f t="shared" si="1"/>
        <v>0.004801097394</v>
      </c>
      <c r="D11" s="1"/>
      <c r="E11" s="1"/>
      <c r="F11" s="7">
        <v>17.0</v>
      </c>
      <c r="G11" s="7">
        <v>0.0</v>
      </c>
      <c r="H11" s="7">
        <f t="shared" si="2"/>
        <v>17</v>
      </c>
      <c r="I11" s="7">
        <v>486.0</v>
      </c>
      <c r="J11" s="7">
        <v>7.0</v>
      </c>
      <c r="K11" s="7">
        <f t="shared" si="3"/>
        <v>0.01440329218</v>
      </c>
      <c r="L11" s="7">
        <f t="shared" si="4"/>
        <v>0.03497942387</v>
      </c>
      <c r="M11" s="1"/>
    </row>
    <row r="12">
      <c r="A12" s="36" t="s">
        <v>333</v>
      </c>
      <c r="B12" s="7">
        <v>0.071974809</v>
      </c>
      <c r="C12" s="7">
        <f t="shared" si="1"/>
        <v>0.004498425551</v>
      </c>
      <c r="D12" s="1"/>
      <c r="E12" s="1"/>
      <c r="F12" s="7">
        <v>28.0</v>
      </c>
      <c r="G12" s="7">
        <v>22.0</v>
      </c>
      <c r="H12" s="7">
        <f t="shared" si="2"/>
        <v>50</v>
      </c>
      <c r="I12" s="7">
        <v>741.0</v>
      </c>
      <c r="J12" s="7">
        <v>10.0</v>
      </c>
      <c r="K12" s="7">
        <f t="shared" si="3"/>
        <v>0.01349527665</v>
      </c>
      <c r="L12" s="7">
        <f t="shared" si="4"/>
        <v>0.06747638327</v>
      </c>
      <c r="M12" s="1"/>
    </row>
    <row r="13">
      <c r="A13" s="36" t="s">
        <v>25</v>
      </c>
      <c r="B13" s="7">
        <v>0.087719298</v>
      </c>
      <c r="C13" s="7">
        <f t="shared" si="1"/>
        <v>0.004385964912</v>
      </c>
      <c r="D13" s="1"/>
      <c r="E13" s="1"/>
      <c r="F13" s="7">
        <v>30.0</v>
      </c>
      <c r="G13" s="7">
        <v>8.0</v>
      </c>
      <c r="H13" s="7">
        <f t="shared" si="2"/>
        <v>38</v>
      </c>
      <c r="I13" s="7">
        <v>456.0</v>
      </c>
      <c r="J13" s="7">
        <v>6.0</v>
      </c>
      <c r="K13" s="7">
        <f t="shared" si="3"/>
        <v>0.01315789474</v>
      </c>
      <c r="L13" s="7">
        <f t="shared" si="4"/>
        <v>0.08333333333</v>
      </c>
      <c r="M13" s="1"/>
    </row>
    <row r="14">
      <c r="A14" s="36" t="s">
        <v>331</v>
      </c>
      <c r="B14" s="7">
        <v>0.035864979</v>
      </c>
      <c r="C14" s="7">
        <f t="shared" si="1"/>
        <v>0.004219409283</v>
      </c>
      <c r="D14" s="1"/>
      <c r="E14" s="1"/>
      <c r="F14" s="7">
        <v>4.0</v>
      </c>
      <c r="G14" s="7">
        <v>6.0</v>
      </c>
      <c r="H14" s="7">
        <f t="shared" si="2"/>
        <v>10</v>
      </c>
      <c r="I14" s="7">
        <v>316.0</v>
      </c>
      <c r="J14" s="7">
        <v>4.0</v>
      </c>
      <c r="K14" s="7">
        <f t="shared" si="3"/>
        <v>0.01265822785</v>
      </c>
      <c r="L14" s="7">
        <f t="shared" si="4"/>
        <v>0.03164556962</v>
      </c>
      <c r="M14" s="1"/>
    </row>
    <row r="15">
      <c r="A15" s="36" t="s">
        <v>353</v>
      </c>
      <c r="B15" s="7">
        <v>0.027283511</v>
      </c>
      <c r="C15" s="7">
        <f t="shared" si="1"/>
        <v>0.004151838671</v>
      </c>
      <c r="D15" s="1"/>
      <c r="E15" s="1"/>
      <c r="F15" s="7">
        <v>7.0</v>
      </c>
      <c r="G15" s="7">
        <v>6.0</v>
      </c>
      <c r="H15" s="7">
        <f t="shared" si="2"/>
        <v>13</v>
      </c>
      <c r="I15" s="7">
        <v>562.0</v>
      </c>
      <c r="J15" s="7">
        <v>7.0</v>
      </c>
      <c r="K15" s="7">
        <f t="shared" si="3"/>
        <v>0.01245551601</v>
      </c>
      <c r="L15" s="7">
        <f t="shared" si="4"/>
        <v>0.0231316726</v>
      </c>
      <c r="M15" s="1"/>
    </row>
    <row r="16">
      <c r="A16" s="40" t="s">
        <v>26</v>
      </c>
      <c r="B16" s="7">
        <v>0.028853455</v>
      </c>
      <c r="C16" s="7">
        <f t="shared" si="1"/>
        <v>0.003796507213</v>
      </c>
      <c r="D16" s="1"/>
      <c r="E16" s="1"/>
      <c r="F16" s="7">
        <v>5.0</v>
      </c>
      <c r="G16" s="7">
        <v>6.0</v>
      </c>
      <c r="H16" s="7">
        <f t="shared" si="2"/>
        <v>11</v>
      </c>
      <c r="I16" s="7">
        <v>439.0</v>
      </c>
      <c r="J16" s="7">
        <v>5.0</v>
      </c>
      <c r="K16" s="7">
        <f t="shared" si="3"/>
        <v>0.01138952164</v>
      </c>
      <c r="L16" s="7">
        <f t="shared" si="4"/>
        <v>0.02505694761</v>
      </c>
      <c r="M16" s="7">
        <f>M10/1.6</f>
        <v>0.003875</v>
      </c>
    </row>
    <row r="17">
      <c r="A17" s="40" t="s">
        <v>354</v>
      </c>
      <c r="B17" s="7">
        <v>0.05628655</v>
      </c>
      <c r="C17" s="7">
        <f t="shared" si="1"/>
        <v>0.00365497076</v>
      </c>
      <c r="D17" s="7">
        <v>10.0</v>
      </c>
      <c r="E17" s="1"/>
      <c r="F17" s="7">
        <v>18.0</v>
      </c>
      <c r="G17" s="7">
        <v>6.0</v>
      </c>
      <c r="H17" s="7">
        <f t="shared" si="2"/>
        <v>24</v>
      </c>
      <c r="I17" s="7">
        <v>456.0</v>
      </c>
      <c r="J17" s="7">
        <v>5.0</v>
      </c>
      <c r="K17" s="7">
        <f t="shared" si="3"/>
        <v>0.01096491228</v>
      </c>
      <c r="L17" s="7">
        <f t="shared" si="4"/>
        <v>0.05263157895</v>
      </c>
      <c r="M17" s="1"/>
    </row>
    <row r="18">
      <c r="A18" s="40" t="s">
        <v>320</v>
      </c>
      <c r="B18" s="7">
        <v>0.045222465</v>
      </c>
      <c r="C18" s="7">
        <f t="shared" si="1"/>
        <v>0.003646973012</v>
      </c>
      <c r="D18" s="1"/>
      <c r="E18" s="1"/>
      <c r="F18" s="7">
        <v>14.0</v>
      </c>
      <c r="G18" s="7">
        <v>5.0</v>
      </c>
      <c r="H18" s="7">
        <f t="shared" si="2"/>
        <v>19</v>
      </c>
      <c r="I18" s="7">
        <v>457.0</v>
      </c>
      <c r="J18" s="7">
        <v>5.0</v>
      </c>
      <c r="K18" s="7">
        <f t="shared" si="3"/>
        <v>0.01094091904</v>
      </c>
      <c r="L18" s="7">
        <f t="shared" si="4"/>
        <v>0.04157549234</v>
      </c>
      <c r="M18" s="1"/>
    </row>
    <row r="19">
      <c r="A19" s="40" t="s">
        <v>355</v>
      </c>
      <c r="B19" s="7">
        <v>0.054358974</v>
      </c>
      <c r="C19" s="7">
        <f t="shared" si="1"/>
        <v>0.00358974359</v>
      </c>
      <c r="D19" s="1"/>
      <c r="E19" s="1"/>
      <c r="F19" s="7">
        <v>16.0</v>
      </c>
      <c r="G19" s="7">
        <v>17.0</v>
      </c>
      <c r="H19" s="7">
        <f t="shared" si="2"/>
        <v>33</v>
      </c>
      <c r="I19" s="7">
        <v>650.0</v>
      </c>
      <c r="J19" s="7">
        <v>7.0</v>
      </c>
      <c r="K19" s="7">
        <f t="shared" si="3"/>
        <v>0.01076923077</v>
      </c>
      <c r="L19" s="7">
        <f t="shared" si="4"/>
        <v>0.05076923077</v>
      </c>
      <c r="M19" s="1"/>
    </row>
    <row r="20">
      <c r="A20" s="40" t="s">
        <v>356</v>
      </c>
      <c r="B20" s="7">
        <v>0.050964187</v>
      </c>
      <c r="C20" s="7">
        <f t="shared" si="1"/>
        <v>0.003443526171</v>
      </c>
      <c r="D20" s="7">
        <v>19.0</v>
      </c>
      <c r="E20" s="1"/>
      <c r="F20" s="7">
        <v>13.0</v>
      </c>
      <c r="G20" s="7">
        <v>10.0</v>
      </c>
      <c r="H20" s="7">
        <f t="shared" si="2"/>
        <v>23</v>
      </c>
      <c r="I20" s="7">
        <v>484.0</v>
      </c>
      <c r="J20" s="7">
        <v>5.0</v>
      </c>
      <c r="K20" s="7">
        <f t="shared" si="3"/>
        <v>0.01033057851</v>
      </c>
      <c r="L20" s="7">
        <f t="shared" si="4"/>
        <v>0.04752066116</v>
      </c>
      <c r="M20" s="1"/>
    </row>
    <row r="21">
      <c r="A21" s="40" t="s">
        <v>24</v>
      </c>
      <c r="B21" s="7">
        <v>0.075333333</v>
      </c>
      <c r="C21" s="7">
        <f t="shared" si="1"/>
        <v>0.003333333333</v>
      </c>
      <c r="D21" s="1"/>
      <c r="E21" s="1"/>
      <c r="F21" s="7">
        <v>29.0</v>
      </c>
      <c r="G21" s="7">
        <v>7.0</v>
      </c>
      <c r="H21" s="7">
        <f t="shared" si="2"/>
        <v>36</v>
      </c>
      <c r="I21" s="7">
        <v>500.0</v>
      </c>
      <c r="J21" s="7">
        <v>5.0</v>
      </c>
      <c r="K21" s="7">
        <f t="shared" si="3"/>
        <v>0.01</v>
      </c>
      <c r="L21" s="7">
        <f t="shared" si="4"/>
        <v>0.072</v>
      </c>
      <c r="M21" s="1"/>
    </row>
    <row r="22">
      <c r="A22" s="40" t="s">
        <v>330</v>
      </c>
      <c r="B22" s="7">
        <v>0.058353317</v>
      </c>
      <c r="C22" s="7">
        <f t="shared" si="1"/>
        <v>0.003197442046</v>
      </c>
      <c r="D22" s="1"/>
      <c r="E22" s="1"/>
      <c r="F22" s="7">
        <v>15.0</v>
      </c>
      <c r="G22" s="7">
        <v>8.0</v>
      </c>
      <c r="H22" s="7">
        <f t="shared" si="2"/>
        <v>23</v>
      </c>
      <c r="I22" s="7">
        <v>417.0</v>
      </c>
      <c r="J22" s="7">
        <v>4.0</v>
      </c>
      <c r="K22" s="7">
        <f t="shared" si="3"/>
        <v>0.009592326139</v>
      </c>
      <c r="L22" s="7">
        <f t="shared" si="4"/>
        <v>0.0551558753</v>
      </c>
      <c r="M22" s="1"/>
    </row>
    <row r="23">
      <c r="A23" s="40" t="s">
        <v>357</v>
      </c>
      <c r="B23" s="7">
        <v>0.051159073</v>
      </c>
      <c r="C23" s="7">
        <f t="shared" si="1"/>
        <v>0.003197442046</v>
      </c>
      <c r="D23" s="7">
        <v>21.0</v>
      </c>
      <c r="E23" s="1"/>
      <c r="F23" s="7">
        <v>13.0</v>
      </c>
      <c r="G23" s="7">
        <v>7.0</v>
      </c>
      <c r="H23" s="7">
        <f t="shared" si="2"/>
        <v>20</v>
      </c>
      <c r="I23" s="7">
        <v>417.0</v>
      </c>
      <c r="J23" s="7">
        <v>4.0</v>
      </c>
      <c r="K23" s="7">
        <f t="shared" si="3"/>
        <v>0.009592326139</v>
      </c>
      <c r="L23" s="7">
        <f t="shared" si="4"/>
        <v>0.0479616307</v>
      </c>
      <c r="M23" s="1"/>
    </row>
    <row r="24">
      <c r="A24" s="40" t="s">
        <v>358</v>
      </c>
      <c r="B24" s="7">
        <v>0.058095238</v>
      </c>
      <c r="C24" s="7">
        <f t="shared" si="1"/>
        <v>0.002750275028</v>
      </c>
      <c r="D24" s="7">
        <v>14.0</v>
      </c>
      <c r="E24" s="1"/>
      <c r="F24" s="1"/>
      <c r="G24" s="1"/>
      <c r="H24" s="7">
        <f t="shared" si="2"/>
        <v>0</v>
      </c>
      <c r="I24" s="7">
        <v>606.0</v>
      </c>
      <c r="J24" s="7">
        <v>5.0</v>
      </c>
      <c r="K24" s="7">
        <f t="shared" si="3"/>
        <v>0.008250825083</v>
      </c>
      <c r="L24" s="7">
        <f t="shared" si="4"/>
        <v>0</v>
      </c>
      <c r="M24" s="1"/>
    </row>
    <row r="25">
      <c r="A25" s="40" t="s">
        <v>359</v>
      </c>
      <c r="B25" s="7">
        <v>0.057705363</v>
      </c>
      <c r="C25" s="7">
        <f t="shared" si="1"/>
        <v>0.002715546504</v>
      </c>
      <c r="D25" s="7">
        <v>19.0</v>
      </c>
      <c r="E25" s="1"/>
      <c r="F25" s="7">
        <v>12.0</v>
      </c>
      <c r="G25" s="7">
        <v>15.0</v>
      </c>
      <c r="H25" s="7">
        <f t="shared" si="2"/>
        <v>27</v>
      </c>
      <c r="I25" s="7">
        <v>491.0</v>
      </c>
      <c r="J25" s="7">
        <v>4.0</v>
      </c>
      <c r="K25" s="7">
        <f t="shared" si="3"/>
        <v>0.008146639511</v>
      </c>
      <c r="L25" s="7">
        <f t="shared" si="4"/>
        <v>0.0549898167</v>
      </c>
      <c r="M25" s="1"/>
    </row>
    <row r="26">
      <c r="A26" s="40" t="s">
        <v>319</v>
      </c>
      <c r="B26" s="7">
        <v>0.069553806</v>
      </c>
      <c r="C26" s="7">
        <f t="shared" si="1"/>
        <v>0.002624671916</v>
      </c>
      <c r="D26" s="7">
        <v>15.0</v>
      </c>
      <c r="E26" s="1"/>
      <c r="F26" s="7">
        <v>22.0</v>
      </c>
      <c r="G26" s="7">
        <v>12.0</v>
      </c>
      <c r="H26" s="7">
        <f t="shared" si="2"/>
        <v>34</v>
      </c>
      <c r="I26" s="7">
        <v>508.0</v>
      </c>
      <c r="J26" s="7">
        <v>4.0</v>
      </c>
      <c r="K26" s="7">
        <f t="shared" si="3"/>
        <v>0.007874015748</v>
      </c>
      <c r="L26" s="7">
        <f t="shared" si="4"/>
        <v>0.06692913386</v>
      </c>
      <c r="M26" s="1"/>
    </row>
    <row r="27">
      <c r="A27" s="1" t="s">
        <v>360</v>
      </c>
      <c r="B27" s="7">
        <v>0.050053248</v>
      </c>
      <c r="C27" s="7">
        <f t="shared" si="1"/>
        <v>0.002129925453</v>
      </c>
      <c r="D27" s="1"/>
      <c r="E27" s="1"/>
      <c r="F27" s="7">
        <v>15.0</v>
      </c>
      <c r="G27" s="7">
        <v>0.0</v>
      </c>
      <c r="H27" s="7">
        <f t="shared" si="2"/>
        <v>15</v>
      </c>
      <c r="I27" s="7">
        <v>313.0</v>
      </c>
      <c r="J27" s="7">
        <v>2.0</v>
      </c>
      <c r="K27" s="7">
        <f t="shared" si="3"/>
        <v>0.006389776358</v>
      </c>
      <c r="L27" s="7">
        <f t="shared" si="4"/>
        <v>0.04792332268</v>
      </c>
      <c r="M27" s="7">
        <f>M16/1.6</f>
        <v>0.002421875</v>
      </c>
    </row>
    <row r="28">
      <c r="A28" s="1" t="s">
        <v>328</v>
      </c>
      <c r="B28" s="7">
        <v>0.066276803</v>
      </c>
      <c r="C28" s="7">
        <f t="shared" si="1"/>
        <v>0.001949317739</v>
      </c>
      <c r="D28" s="1"/>
      <c r="E28" s="1"/>
      <c r="F28" s="7">
        <v>25.0</v>
      </c>
      <c r="G28" s="7">
        <v>8.0</v>
      </c>
      <c r="H28" s="7">
        <f t="shared" si="2"/>
        <v>33</v>
      </c>
      <c r="I28" s="7">
        <v>513.0</v>
      </c>
      <c r="J28" s="7">
        <v>3.0</v>
      </c>
      <c r="K28" s="7">
        <f t="shared" si="3"/>
        <v>0.005847953216</v>
      </c>
      <c r="L28" s="7">
        <f t="shared" si="4"/>
        <v>0.06432748538</v>
      </c>
      <c r="M28" s="1"/>
    </row>
    <row r="29">
      <c r="A29" s="1" t="s">
        <v>361</v>
      </c>
      <c r="B29" s="7">
        <v>0.034482759</v>
      </c>
      <c r="C29" s="7">
        <f t="shared" si="1"/>
        <v>0.001915708812</v>
      </c>
      <c r="D29" s="1"/>
      <c r="E29" s="1"/>
      <c r="F29" s="7">
        <v>17.0</v>
      </c>
      <c r="G29" s="7">
        <v>0.0</v>
      </c>
      <c r="H29" s="7">
        <f t="shared" si="2"/>
        <v>17</v>
      </c>
      <c r="I29" s="7">
        <v>522.0</v>
      </c>
      <c r="J29" s="7">
        <v>3.0</v>
      </c>
      <c r="K29" s="7">
        <f t="shared" si="3"/>
        <v>0.005747126437</v>
      </c>
      <c r="L29" s="7">
        <f t="shared" si="4"/>
        <v>0.03256704981</v>
      </c>
      <c r="M29" s="1"/>
    </row>
    <row r="30">
      <c r="A30" s="1" t="s">
        <v>362</v>
      </c>
      <c r="B30" s="7">
        <v>0.046594982</v>
      </c>
      <c r="C30" s="7">
        <f t="shared" si="1"/>
        <v>0.001433691756</v>
      </c>
      <c r="D30" s="1"/>
      <c r="E30" s="1"/>
      <c r="F30" s="7">
        <v>18.0</v>
      </c>
      <c r="G30" s="7">
        <v>3.0</v>
      </c>
      <c r="H30" s="7">
        <f t="shared" si="2"/>
        <v>21</v>
      </c>
      <c r="I30" s="7">
        <v>465.0</v>
      </c>
      <c r="J30" s="7">
        <v>2.0</v>
      </c>
      <c r="K30" s="7">
        <f t="shared" si="3"/>
        <v>0.004301075269</v>
      </c>
      <c r="L30" s="7">
        <f t="shared" si="4"/>
        <v>0.04516129032</v>
      </c>
      <c r="M30" s="7">
        <f>M27/1.6</f>
        <v>0.001513671875</v>
      </c>
    </row>
    <row r="31">
      <c r="A31" s="1" t="s">
        <v>335</v>
      </c>
      <c r="B31" s="7">
        <v>0.034447822</v>
      </c>
      <c r="C31" s="7">
        <f t="shared" si="1"/>
        <v>0.001013171226</v>
      </c>
      <c r="D31" s="1"/>
      <c r="E31" s="1"/>
      <c r="F31" s="7">
        <v>8.0</v>
      </c>
      <c r="G31" s="7">
        <v>3.0</v>
      </c>
      <c r="H31" s="7">
        <f t="shared" si="2"/>
        <v>11</v>
      </c>
      <c r="I31" s="7">
        <v>329.0</v>
      </c>
      <c r="J31" s="7">
        <v>1.0</v>
      </c>
      <c r="K31" s="7">
        <f t="shared" si="3"/>
        <v>0.003039513678</v>
      </c>
      <c r="L31" s="7">
        <f t="shared" si="4"/>
        <v>0.03343465046</v>
      </c>
      <c r="M31" s="1"/>
    </row>
    <row r="32">
      <c r="A32" s="1" t="s">
        <v>363</v>
      </c>
      <c r="B32" s="7">
        <v>0.058095238</v>
      </c>
      <c r="C32" s="7">
        <f t="shared" si="1"/>
        <v>0.0009523809524</v>
      </c>
      <c r="D32" s="1"/>
      <c r="E32" s="1"/>
      <c r="F32" s="7">
        <v>16.0</v>
      </c>
      <c r="G32" s="7">
        <v>4.0</v>
      </c>
      <c r="H32" s="7">
        <f t="shared" si="2"/>
        <v>20</v>
      </c>
      <c r="I32" s="7">
        <v>350.0</v>
      </c>
      <c r="J32" s="7">
        <v>1.0</v>
      </c>
      <c r="K32" s="7">
        <f t="shared" si="3"/>
        <v>0.002857142857</v>
      </c>
      <c r="L32" s="7">
        <f t="shared" si="4"/>
        <v>0.05714285714</v>
      </c>
      <c r="M32" s="1"/>
    </row>
    <row r="33">
      <c r="A33" s="1" t="s">
        <v>364</v>
      </c>
      <c r="B33" s="7">
        <v>0.048349605</v>
      </c>
      <c r="C33" s="7">
        <f t="shared" si="1"/>
        <v>0.000929800093</v>
      </c>
      <c r="D33" s="7">
        <v>13.0</v>
      </c>
      <c r="E33" s="1"/>
      <c r="F33" s="7">
        <v>24.0</v>
      </c>
      <c r="G33" s="7">
        <v>10.0</v>
      </c>
      <c r="H33" s="7">
        <f t="shared" si="2"/>
        <v>34</v>
      </c>
      <c r="I33" s="7">
        <v>717.0</v>
      </c>
      <c r="J33" s="7">
        <v>2.0</v>
      </c>
      <c r="K33" s="7">
        <f t="shared" si="3"/>
        <v>0.002789400279</v>
      </c>
      <c r="L33" s="7">
        <f t="shared" si="4"/>
        <v>0.04741980474</v>
      </c>
      <c r="M33" s="1"/>
    </row>
    <row r="34">
      <c r="A34" s="1" t="s">
        <v>365</v>
      </c>
      <c r="B34" s="7">
        <v>0.042772861</v>
      </c>
      <c r="C34" s="7">
        <f t="shared" si="1"/>
        <v>0.0007374631268</v>
      </c>
      <c r="D34" s="7">
        <v>9.0</v>
      </c>
      <c r="E34" s="1"/>
      <c r="F34" s="7">
        <v>19.0</v>
      </c>
      <c r="G34" s="7">
        <v>0.0</v>
      </c>
      <c r="H34" s="7">
        <f t="shared" si="2"/>
        <v>19</v>
      </c>
      <c r="I34" s="7">
        <v>452.0</v>
      </c>
      <c r="J34" s="7">
        <v>1.0</v>
      </c>
      <c r="K34" s="7">
        <f t="shared" si="3"/>
        <v>0.002212389381</v>
      </c>
      <c r="L34" s="7">
        <f t="shared" si="4"/>
        <v>0.04203539823</v>
      </c>
      <c r="M34" s="1"/>
    </row>
    <row r="35">
      <c r="A35" s="1" t="s">
        <v>366</v>
      </c>
      <c r="B35" s="7">
        <v>0.042635659</v>
      </c>
      <c r="C35" s="7">
        <f t="shared" si="1"/>
        <v>0.000484496124</v>
      </c>
      <c r="D35" s="1"/>
      <c r="E35" s="1"/>
      <c r="F35" s="7">
        <v>25.0</v>
      </c>
      <c r="G35" s="7">
        <v>4.0</v>
      </c>
      <c r="H35" s="7">
        <f t="shared" si="2"/>
        <v>29</v>
      </c>
      <c r="I35" s="7">
        <v>688.0</v>
      </c>
      <c r="J35" s="7">
        <v>1.0</v>
      </c>
      <c r="K35" s="7">
        <f t="shared" si="3"/>
        <v>0.001453488372</v>
      </c>
      <c r="L35" s="7">
        <f t="shared" si="4"/>
        <v>0.04215116279</v>
      </c>
      <c r="M35" s="1"/>
    </row>
    <row r="36">
      <c r="A36" s="1" t="s">
        <v>340</v>
      </c>
      <c r="B36" s="7">
        <v>0.038674033</v>
      </c>
      <c r="C36" s="7">
        <f t="shared" si="1"/>
        <v>0</v>
      </c>
      <c r="D36" s="1"/>
      <c r="E36" s="1"/>
      <c r="F36" s="7">
        <v>21.0</v>
      </c>
      <c r="G36" s="7">
        <v>0.0</v>
      </c>
      <c r="H36" s="7">
        <f t="shared" si="2"/>
        <v>21</v>
      </c>
      <c r="I36" s="7">
        <v>543.0</v>
      </c>
      <c r="J36" s="7">
        <v>0.0</v>
      </c>
      <c r="K36" s="7">
        <f t="shared" si="3"/>
        <v>0</v>
      </c>
      <c r="L36" s="7">
        <f t="shared" si="4"/>
        <v>0.03867403315</v>
      </c>
      <c r="M36" s="1"/>
    </row>
    <row r="37">
      <c r="A37" s="1" t="s">
        <v>367</v>
      </c>
      <c r="B37" s="7">
        <v>0.058095238</v>
      </c>
      <c r="C37" s="7">
        <f t="shared" si="1"/>
        <v>0.05871212121</v>
      </c>
      <c r="D37" s="1"/>
      <c r="E37" s="1"/>
      <c r="F37" s="1"/>
      <c r="G37" s="1"/>
      <c r="H37" s="7">
        <f t="shared" si="2"/>
        <v>0</v>
      </c>
      <c r="I37" s="7">
        <v>176.0</v>
      </c>
      <c r="J37" s="7">
        <v>31.0</v>
      </c>
      <c r="K37" s="7">
        <f t="shared" si="3"/>
        <v>0.1761363636</v>
      </c>
      <c r="L37" s="7">
        <f t="shared" si="4"/>
        <v>0</v>
      </c>
      <c r="M37" s="1"/>
    </row>
    <row r="38">
      <c r="A38" s="1" t="s">
        <v>368</v>
      </c>
      <c r="B38" s="7">
        <v>0.048349605</v>
      </c>
      <c r="C38" s="7">
        <f t="shared" si="1"/>
        <v>0.03703703704</v>
      </c>
      <c r="D38" s="1"/>
      <c r="E38" s="1"/>
      <c r="F38" s="1"/>
      <c r="G38" s="1"/>
      <c r="H38" s="7">
        <f t="shared" si="2"/>
        <v>0</v>
      </c>
      <c r="I38" s="7">
        <v>144.0</v>
      </c>
      <c r="J38" s="7">
        <v>16.0</v>
      </c>
      <c r="K38" s="7">
        <f t="shared" si="3"/>
        <v>0.1111111111</v>
      </c>
      <c r="L38" s="7">
        <f t="shared" si="4"/>
        <v>0</v>
      </c>
      <c r="M38" s="1"/>
    </row>
    <row r="39">
      <c r="A39" s="1" t="s">
        <v>369</v>
      </c>
      <c r="B39" s="7">
        <v>0.042772861</v>
      </c>
      <c r="C39" s="7">
        <f t="shared" si="1"/>
        <v>0.06010928962</v>
      </c>
      <c r="D39" s="1"/>
      <c r="E39" s="1"/>
      <c r="F39" s="1"/>
      <c r="G39" s="1"/>
      <c r="H39" s="7">
        <f t="shared" si="2"/>
        <v>0</v>
      </c>
      <c r="I39" s="7">
        <v>61.0</v>
      </c>
      <c r="J39" s="7">
        <v>11.0</v>
      </c>
      <c r="K39" s="7">
        <f t="shared" si="3"/>
        <v>0.1803278689</v>
      </c>
      <c r="L39" s="7">
        <f t="shared" si="4"/>
        <v>0</v>
      </c>
      <c r="M39" s="1"/>
    </row>
    <row r="40">
      <c r="A40" s="1" t="s">
        <v>370</v>
      </c>
      <c r="B40" s="7">
        <v>0.042635659</v>
      </c>
      <c r="C40" s="7">
        <f t="shared" si="1"/>
        <v>0.04301075269</v>
      </c>
      <c r="D40" s="1"/>
      <c r="E40" s="1"/>
      <c r="F40" s="1"/>
      <c r="G40" s="1"/>
      <c r="H40" s="7">
        <f t="shared" si="2"/>
        <v>0</v>
      </c>
      <c r="I40" s="7">
        <v>62.0</v>
      </c>
      <c r="J40" s="7">
        <v>8.0</v>
      </c>
      <c r="K40" s="7">
        <f t="shared" si="3"/>
        <v>0.1290322581</v>
      </c>
      <c r="L40" s="7">
        <f t="shared" si="4"/>
        <v>0</v>
      </c>
      <c r="M40" s="1"/>
    </row>
    <row r="41">
      <c r="A41" s="1" t="s">
        <v>371</v>
      </c>
      <c r="B41" s="7">
        <v>0.038674033</v>
      </c>
      <c r="C41" s="7">
        <f t="shared" si="1"/>
        <v>0.001022494888</v>
      </c>
      <c r="D41" s="7">
        <v>13.0</v>
      </c>
      <c r="E41" s="1"/>
      <c r="F41" s="1"/>
      <c r="G41" s="1"/>
      <c r="H41" s="7">
        <f t="shared" si="2"/>
        <v>0</v>
      </c>
      <c r="I41" s="7">
        <v>652.0</v>
      </c>
      <c r="J41" s="7">
        <v>2.0</v>
      </c>
      <c r="K41" s="7">
        <f t="shared" si="3"/>
        <v>0.003067484663</v>
      </c>
      <c r="L41" s="7">
        <f t="shared" si="4"/>
        <v>0</v>
      </c>
      <c r="M41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</v>
      </c>
      <c r="C1" s="2" t="s">
        <v>324</v>
      </c>
    </row>
    <row r="2">
      <c r="A2" s="2" t="s">
        <v>372</v>
      </c>
    </row>
    <row r="3">
      <c r="A3" s="2" t="s">
        <v>17</v>
      </c>
      <c r="C3" s="2" t="s">
        <v>331</v>
      </c>
    </row>
    <row r="4">
      <c r="A4" s="2" t="s">
        <v>323</v>
      </c>
      <c r="C4" s="2" t="s">
        <v>330</v>
      </c>
    </row>
    <row r="5">
      <c r="A5" s="2" t="s">
        <v>322</v>
      </c>
      <c r="C5" s="2" t="s">
        <v>328</v>
      </c>
    </row>
    <row r="7">
      <c r="A7" s="2" t="s">
        <v>19</v>
      </c>
      <c r="C7" s="2" t="s">
        <v>188</v>
      </c>
    </row>
    <row r="8">
      <c r="A8" s="2" t="s">
        <v>20</v>
      </c>
      <c r="C8" s="2" t="s">
        <v>372</v>
      </c>
    </row>
    <row r="9">
      <c r="C9" s="2" t="s">
        <v>13</v>
      </c>
    </row>
    <row r="10">
      <c r="A10" s="2" t="s">
        <v>324</v>
      </c>
      <c r="C10" s="2" t="s">
        <v>19</v>
      </c>
    </row>
    <row r="11">
      <c r="A11" s="2" t="s">
        <v>373</v>
      </c>
    </row>
    <row r="12">
      <c r="A12" s="2" t="s">
        <v>330</v>
      </c>
      <c r="C12" s="2" t="s">
        <v>22</v>
      </c>
    </row>
    <row r="13">
      <c r="A13" s="2" t="s">
        <v>22</v>
      </c>
      <c r="C13" s="2" t="s">
        <v>318</v>
      </c>
    </row>
    <row r="14">
      <c r="A14" s="2" t="s">
        <v>316</v>
      </c>
      <c r="C14" s="2" t="s">
        <v>316</v>
      </c>
    </row>
    <row r="15">
      <c r="A15" s="2" t="s">
        <v>15</v>
      </c>
      <c r="C15" s="2" t="s">
        <v>319</v>
      </c>
    </row>
    <row r="16">
      <c r="A16" s="2" t="s">
        <v>23</v>
      </c>
      <c r="C16" s="2" t="s">
        <v>15</v>
      </c>
    </row>
    <row r="17">
      <c r="A17" s="2" t="s">
        <v>16</v>
      </c>
    </row>
    <row r="18">
      <c r="A18" s="2" t="s">
        <v>18</v>
      </c>
      <c r="C18" s="2" t="s">
        <v>17</v>
      </c>
    </row>
    <row r="19">
      <c r="A19" s="2" t="s">
        <v>337</v>
      </c>
      <c r="C19" s="2" t="s">
        <v>23</v>
      </c>
    </row>
    <row r="20">
      <c r="A20" s="2" t="s">
        <v>325</v>
      </c>
    </row>
    <row r="21">
      <c r="A21" s="2" t="s">
        <v>333</v>
      </c>
      <c r="C21" s="2" t="s">
        <v>24</v>
      </c>
    </row>
    <row r="22">
      <c r="C22" s="2" t="s">
        <v>320</v>
      </c>
    </row>
    <row r="23">
      <c r="A23" s="2" t="s">
        <v>328</v>
      </c>
    </row>
    <row r="24">
      <c r="A24" s="2" t="s">
        <v>332</v>
      </c>
      <c r="C24" s="2" t="s">
        <v>327</v>
      </c>
    </row>
    <row r="25">
      <c r="A25" s="2" t="s">
        <v>334</v>
      </c>
      <c r="C25" s="2" t="s">
        <v>321</v>
      </c>
    </row>
    <row r="26">
      <c r="A26" s="2" t="s">
        <v>319</v>
      </c>
      <c r="C26" s="2" t="s">
        <v>18</v>
      </c>
    </row>
    <row r="27">
      <c r="A27" s="2" t="s">
        <v>318</v>
      </c>
    </row>
    <row r="28">
      <c r="A28" s="2" t="s">
        <v>27</v>
      </c>
    </row>
    <row r="29">
      <c r="A29" s="2" t="s">
        <v>21</v>
      </c>
      <c r="C29" s="2" t="s">
        <v>341</v>
      </c>
    </row>
    <row r="30">
      <c r="A30" s="2" t="s">
        <v>24</v>
      </c>
      <c r="C30" s="2" t="s">
        <v>26</v>
      </c>
    </row>
    <row r="31">
      <c r="A31" s="2" t="s">
        <v>327</v>
      </c>
    </row>
    <row r="32">
      <c r="A32" s="2" t="s">
        <v>321</v>
      </c>
      <c r="C32" s="2" t="s">
        <v>322</v>
      </c>
    </row>
    <row r="33">
      <c r="A33" s="2" t="s">
        <v>339</v>
      </c>
      <c r="C33" s="2" t="s">
        <v>374</v>
      </c>
    </row>
    <row r="34">
      <c r="A34" s="2" t="s">
        <v>341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" width="7.63"/>
    <col customWidth="1" min="5" max="5" width="9.38"/>
    <col customWidth="1" min="6" max="7" width="7.63"/>
    <col customWidth="1" min="8" max="8" width="9.38"/>
    <col customWidth="1" min="9" max="16" width="4.75"/>
    <col customWidth="1" min="17" max="17" width="11.0"/>
    <col customWidth="1" min="18" max="18" width="9.38"/>
    <col customWidth="1" min="19" max="26" width="4.75"/>
    <col customWidth="1" min="27" max="28" width="3.75"/>
    <col customWidth="1" min="29" max="29" width="18.25"/>
    <col customWidth="1" min="30" max="30" width="12.38"/>
  </cols>
  <sheetData>
    <row r="1">
      <c r="A1" s="2"/>
      <c r="B1" s="2" t="s">
        <v>375</v>
      </c>
      <c r="C1" s="2" t="s">
        <v>376</v>
      </c>
      <c r="D1" s="2" t="s">
        <v>377</v>
      </c>
      <c r="E1" s="2" t="s">
        <v>378</v>
      </c>
      <c r="F1" s="2" t="s">
        <v>379</v>
      </c>
      <c r="G1" s="2" t="s">
        <v>380</v>
      </c>
      <c r="H1" s="119" t="s">
        <v>381</v>
      </c>
      <c r="I1" s="2">
        <v>2022.0</v>
      </c>
      <c r="J1" s="2">
        <v>2021.0</v>
      </c>
      <c r="K1" s="2">
        <v>2020.0</v>
      </c>
      <c r="L1" s="2">
        <v>2019.0</v>
      </c>
      <c r="M1" s="2">
        <v>2022.0</v>
      </c>
      <c r="N1" s="2">
        <v>2021.0</v>
      </c>
      <c r="O1" s="2">
        <v>2020.0</v>
      </c>
      <c r="P1" s="2">
        <v>2019.0</v>
      </c>
      <c r="Q1" s="2" t="s">
        <v>382</v>
      </c>
      <c r="R1" s="2" t="s">
        <v>383</v>
      </c>
      <c r="S1" s="2">
        <v>2022.0</v>
      </c>
      <c r="T1" s="2">
        <v>2021.0</v>
      </c>
      <c r="U1" s="2">
        <v>2020.0</v>
      </c>
      <c r="V1" s="2">
        <v>2019.0</v>
      </c>
      <c r="W1" s="2">
        <v>2022.0</v>
      </c>
      <c r="X1" s="2">
        <v>2021.0</v>
      </c>
      <c r="Y1" s="2">
        <v>2020.0</v>
      </c>
      <c r="Z1" s="2">
        <v>2019.0</v>
      </c>
      <c r="AC1" s="2" t="s">
        <v>384</v>
      </c>
    </row>
    <row r="2">
      <c r="A2" s="115" t="s">
        <v>7</v>
      </c>
      <c r="B2" s="2">
        <v>330.0</v>
      </c>
      <c r="C2" s="2">
        <v>50.6</v>
      </c>
      <c r="D2" s="2">
        <v>24.7</v>
      </c>
      <c r="E2" s="2">
        <v>2.1</v>
      </c>
      <c r="F2" s="2">
        <v>22.0</v>
      </c>
      <c r="G2" s="2">
        <v>0.5</v>
      </c>
      <c r="H2" s="119">
        <f t="shared" ref="H2:H82" si="1">B2*D2/100</f>
        <v>81.51</v>
      </c>
      <c r="I2" s="2">
        <v>14.0</v>
      </c>
      <c r="J2" s="2">
        <v>7.0</v>
      </c>
      <c r="K2" s="2">
        <v>6.0</v>
      </c>
      <c r="L2" s="2">
        <v>5.0</v>
      </c>
      <c r="M2" s="2">
        <v>5.0</v>
      </c>
      <c r="N2" s="2">
        <v>6.0</v>
      </c>
      <c r="O2" s="2">
        <v>6.0</v>
      </c>
      <c r="P2" s="2">
        <v>6.0</v>
      </c>
      <c r="Q2" s="13">
        <f t="shared" ref="Q2:Q82" si="2">sum(I2:P2)</f>
        <v>55</v>
      </c>
      <c r="R2" s="116">
        <f t="shared" ref="R2:R82" si="3">Q2/H2</f>
        <v>0.6747638327</v>
      </c>
      <c r="T2" s="2">
        <v>3.0</v>
      </c>
      <c r="AA2" s="13">
        <f t="shared" ref="AA2:AA82" si="4">sum(S2:Z2)</f>
        <v>3</v>
      </c>
      <c r="AB2" s="13">
        <f t="shared" ref="AB2:AB82" si="5">Q2-AA2</f>
        <v>52</v>
      </c>
      <c r="AC2" s="116">
        <f t="shared" ref="AC2:AC82" si="6">AB2/H2</f>
        <v>0.6379585327</v>
      </c>
    </row>
    <row r="3">
      <c r="A3" s="115" t="s">
        <v>385</v>
      </c>
      <c r="B3" s="2">
        <v>1476.0</v>
      </c>
      <c r="C3" s="2">
        <v>53.2</v>
      </c>
      <c r="D3" s="2">
        <v>10.4</v>
      </c>
      <c r="E3" s="2">
        <v>5.4</v>
      </c>
      <c r="H3" s="119">
        <f t="shared" si="1"/>
        <v>153.504</v>
      </c>
      <c r="I3" s="2">
        <v>14.0</v>
      </c>
      <c r="J3" s="2">
        <v>9.0</v>
      </c>
      <c r="K3" s="2">
        <v>12.0</v>
      </c>
      <c r="L3" s="2">
        <v>12.0</v>
      </c>
      <c r="M3" s="2">
        <v>8.0</v>
      </c>
      <c r="N3" s="2">
        <v>9.0</v>
      </c>
      <c r="O3" s="2">
        <v>9.0</v>
      </c>
      <c r="P3" s="2">
        <v>9.0</v>
      </c>
      <c r="Q3" s="13">
        <f t="shared" si="2"/>
        <v>82</v>
      </c>
      <c r="R3" s="116">
        <f t="shared" si="3"/>
        <v>0.5341880342</v>
      </c>
      <c r="S3" s="2">
        <v>8.0</v>
      </c>
      <c r="T3" s="2">
        <v>4.0</v>
      </c>
      <c r="U3" s="2">
        <v>4.0</v>
      </c>
      <c r="V3" s="2">
        <v>10.0</v>
      </c>
      <c r="W3" s="2">
        <v>6.0</v>
      </c>
      <c r="X3" s="2">
        <v>7.0</v>
      </c>
      <c r="Y3" s="2">
        <v>6.0</v>
      </c>
      <c r="Z3" s="2">
        <v>5.0</v>
      </c>
      <c r="AA3" s="13">
        <f t="shared" si="4"/>
        <v>50</v>
      </c>
      <c r="AB3" s="13">
        <f t="shared" si="5"/>
        <v>32</v>
      </c>
      <c r="AC3" s="116">
        <f t="shared" si="6"/>
        <v>0.2084636231</v>
      </c>
    </row>
    <row r="4">
      <c r="A4" s="2" t="s">
        <v>322</v>
      </c>
      <c r="B4" s="2">
        <v>814.0</v>
      </c>
      <c r="C4" s="2">
        <v>60.3</v>
      </c>
      <c r="D4" s="2">
        <v>12.0</v>
      </c>
      <c r="E4" s="2">
        <v>9.6</v>
      </c>
      <c r="F4" s="2">
        <v>17.0</v>
      </c>
      <c r="G4" s="2">
        <v>1.1</v>
      </c>
      <c r="H4" s="119">
        <f t="shared" si="1"/>
        <v>97.68</v>
      </c>
      <c r="I4" s="2">
        <v>7.0</v>
      </c>
      <c r="J4" s="2">
        <v>6.0</v>
      </c>
      <c r="K4" s="2">
        <v>6.0</v>
      </c>
      <c r="L4" s="2">
        <v>7.0</v>
      </c>
      <c r="M4" s="2">
        <v>7.0</v>
      </c>
      <c r="N4" s="2">
        <v>3.0</v>
      </c>
      <c r="O4" s="2">
        <v>3.0</v>
      </c>
      <c r="P4" s="2">
        <v>8.0</v>
      </c>
      <c r="Q4" s="13">
        <f t="shared" si="2"/>
        <v>47</v>
      </c>
      <c r="R4" s="116">
        <f t="shared" si="3"/>
        <v>0.4811629812</v>
      </c>
      <c r="S4" s="2">
        <v>4.0</v>
      </c>
      <c r="V4" s="2">
        <v>5.0</v>
      </c>
      <c r="W4" s="2">
        <v>6.0</v>
      </c>
      <c r="X4" s="2">
        <v>3.0</v>
      </c>
      <c r="Y4" s="2">
        <v>3.0</v>
      </c>
      <c r="AA4" s="13">
        <f t="shared" si="4"/>
        <v>21</v>
      </c>
      <c r="AB4" s="13">
        <f t="shared" si="5"/>
        <v>26</v>
      </c>
      <c r="AC4" s="116">
        <f t="shared" si="6"/>
        <v>0.2661752662</v>
      </c>
    </row>
    <row r="5">
      <c r="A5" s="115" t="s">
        <v>313</v>
      </c>
      <c r="B5" s="2">
        <v>436.0</v>
      </c>
      <c r="C5" s="2">
        <v>14.3</v>
      </c>
      <c r="D5" s="2">
        <v>84.9</v>
      </c>
      <c r="E5" s="2">
        <v>0.7</v>
      </c>
      <c r="F5" s="2"/>
      <c r="G5" s="2">
        <v>0.2</v>
      </c>
      <c r="H5" s="119">
        <f t="shared" si="1"/>
        <v>370.164</v>
      </c>
      <c r="I5" s="2">
        <v>13.0</v>
      </c>
      <c r="J5" s="2">
        <v>16.0</v>
      </c>
      <c r="K5" s="2">
        <v>18.0</v>
      </c>
      <c r="L5" s="2">
        <v>30.0</v>
      </c>
      <c r="M5" s="2">
        <v>9.0</v>
      </c>
      <c r="N5" s="2">
        <v>12.0</v>
      </c>
      <c r="O5" s="2">
        <v>20.0</v>
      </c>
      <c r="P5" s="2">
        <v>21.0</v>
      </c>
      <c r="Q5" s="13">
        <f t="shared" si="2"/>
        <v>139</v>
      </c>
      <c r="R5" s="116">
        <f t="shared" si="3"/>
        <v>0.3755092337</v>
      </c>
      <c r="S5" s="2">
        <v>8.0</v>
      </c>
      <c r="T5" s="2">
        <v>8.0</v>
      </c>
      <c r="V5" s="2">
        <v>15.0</v>
      </c>
      <c r="Y5" s="2">
        <v>4.0</v>
      </c>
      <c r="Z5" s="2">
        <v>4.0</v>
      </c>
      <c r="AA5" s="13">
        <f t="shared" si="4"/>
        <v>39</v>
      </c>
      <c r="AB5" s="13">
        <f t="shared" si="5"/>
        <v>100</v>
      </c>
      <c r="AC5" s="116">
        <f t="shared" si="6"/>
        <v>0.2701505279</v>
      </c>
    </row>
    <row r="6">
      <c r="A6" s="115" t="s">
        <v>212</v>
      </c>
      <c r="B6" s="2">
        <v>238.0</v>
      </c>
      <c r="C6" s="2">
        <v>32.2</v>
      </c>
      <c r="D6" s="2">
        <v>36.1</v>
      </c>
      <c r="E6" s="2">
        <v>8.7</v>
      </c>
      <c r="F6" s="2">
        <v>16.8</v>
      </c>
      <c r="G6" s="2">
        <v>3.8</v>
      </c>
      <c r="H6" s="119">
        <f t="shared" si="1"/>
        <v>85.918</v>
      </c>
      <c r="I6" s="2">
        <v>5.0</v>
      </c>
      <c r="J6" s="2">
        <v>4.0</v>
      </c>
      <c r="K6" s="2">
        <v>5.0</v>
      </c>
      <c r="L6" s="2">
        <v>5.0</v>
      </c>
      <c r="O6" s="2">
        <v>6.0</v>
      </c>
      <c r="P6" s="2">
        <v>6.0</v>
      </c>
      <c r="Q6" s="13">
        <f t="shared" si="2"/>
        <v>31</v>
      </c>
      <c r="R6" s="116">
        <f t="shared" si="3"/>
        <v>0.3608091436</v>
      </c>
      <c r="AA6" s="13">
        <f t="shared" si="4"/>
        <v>0</v>
      </c>
      <c r="AB6" s="13">
        <f t="shared" si="5"/>
        <v>31</v>
      </c>
      <c r="AC6" s="116">
        <f t="shared" si="6"/>
        <v>0.3608091436</v>
      </c>
    </row>
    <row r="7">
      <c r="A7" s="2" t="s">
        <v>333</v>
      </c>
      <c r="B7" s="2">
        <v>3222.0</v>
      </c>
      <c r="C7" s="2">
        <v>43.4</v>
      </c>
      <c r="D7" s="2">
        <v>7.8</v>
      </c>
      <c r="E7" s="2">
        <v>20.9</v>
      </c>
      <c r="F7" s="2">
        <v>15.1</v>
      </c>
      <c r="G7" s="2">
        <v>12.4</v>
      </c>
      <c r="H7" s="119">
        <f t="shared" si="1"/>
        <v>251.316</v>
      </c>
      <c r="I7" s="2">
        <v>15.0</v>
      </c>
      <c r="J7" s="2">
        <v>13.0</v>
      </c>
      <c r="K7" s="2">
        <v>8.0</v>
      </c>
      <c r="L7" s="2">
        <v>14.0</v>
      </c>
      <c r="M7" s="2">
        <v>13.0</v>
      </c>
      <c r="N7" s="2">
        <v>8.0</v>
      </c>
      <c r="O7" s="2">
        <v>5.0</v>
      </c>
      <c r="P7" s="2">
        <v>8.0</v>
      </c>
      <c r="Q7" s="13">
        <f t="shared" si="2"/>
        <v>84</v>
      </c>
      <c r="R7" s="116">
        <f t="shared" si="3"/>
        <v>0.3342405577</v>
      </c>
      <c r="S7" s="2">
        <v>9.0</v>
      </c>
      <c r="T7" s="2">
        <v>9.0</v>
      </c>
      <c r="U7" s="2">
        <v>3.0</v>
      </c>
      <c r="V7" s="2">
        <v>8.0</v>
      </c>
      <c r="W7" s="2">
        <v>8.0</v>
      </c>
      <c r="X7" s="2">
        <v>5.0</v>
      </c>
      <c r="Y7" s="2">
        <v>3.0</v>
      </c>
      <c r="Z7" s="2">
        <v>4.0</v>
      </c>
      <c r="AA7" s="13">
        <f t="shared" si="4"/>
        <v>49</v>
      </c>
      <c r="AB7" s="13">
        <f t="shared" si="5"/>
        <v>35</v>
      </c>
      <c r="AC7" s="116">
        <f t="shared" si="6"/>
        <v>0.139266899</v>
      </c>
    </row>
    <row r="8">
      <c r="A8" s="115" t="s">
        <v>214</v>
      </c>
      <c r="B8" s="2">
        <v>416.0</v>
      </c>
      <c r="C8" s="2">
        <v>58.2</v>
      </c>
      <c r="D8" s="2">
        <v>16.3</v>
      </c>
      <c r="E8" s="2">
        <v>15.4</v>
      </c>
      <c r="H8" s="119">
        <f t="shared" si="1"/>
        <v>67.808</v>
      </c>
      <c r="I8" s="2">
        <v>4.0</v>
      </c>
      <c r="J8" s="2">
        <v>5.0</v>
      </c>
      <c r="K8" s="2">
        <v>3.0</v>
      </c>
      <c r="L8" s="2"/>
      <c r="O8" s="2">
        <v>4.0</v>
      </c>
      <c r="P8" s="2">
        <v>5.0</v>
      </c>
      <c r="Q8" s="13">
        <f t="shared" si="2"/>
        <v>21</v>
      </c>
      <c r="R8" s="116">
        <f t="shared" si="3"/>
        <v>0.3096979707</v>
      </c>
      <c r="T8" s="2">
        <v>3.0</v>
      </c>
      <c r="AA8" s="13">
        <f t="shared" si="4"/>
        <v>3</v>
      </c>
      <c r="AB8" s="13">
        <f t="shared" si="5"/>
        <v>18</v>
      </c>
      <c r="AC8" s="116">
        <f t="shared" si="6"/>
        <v>0.2654554035</v>
      </c>
    </row>
    <row r="9">
      <c r="A9" s="115" t="s">
        <v>386</v>
      </c>
      <c r="B9" s="2">
        <v>793.0</v>
      </c>
      <c r="C9" s="2">
        <v>15.4</v>
      </c>
      <c r="D9" s="2">
        <v>19.4</v>
      </c>
      <c r="E9" s="2">
        <v>23.1</v>
      </c>
      <c r="G9" s="2">
        <v>12.5</v>
      </c>
      <c r="H9" s="119">
        <f t="shared" si="1"/>
        <v>153.842</v>
      </c>
      <c r="I9" s="2">
        <v>7.0</v>
      </c>
      <c r="J9" s="2">
        <v>3.0</v>
      </c>
      <c r="K9" s="2">
        <v>8.0</v>
      </c>
      <c r="L9" s="2">
        <v>8.0</v>
      </c>
      <c r="M9" s="2">
        <v>5.0</v>
      </c>
      <c r="N9" s="2">
        <v>5.0</v>
      </c>
      <c r="O9" s="2">
        <v>5.0</v>
      </c>
      <c r="P9" s="2">
        <v>6.0</v>
      </c>
      <c r="Q9" s="13">
        <f t="shared" si="2"/>
        <v>47</v>
      </c>
      <c r="R9" s="116">
        <f t="shared" si="3"/>
        <v>0.3055082487</v>
      </c>
      <c r="S9" s="2">
        <v>6.0</v>
      </c>
      <c r="U9" s="2">
        <v>3.0</v>
      </c>
      <c r="X9" s="2">
        <v>4.0</v>
      </c>
      <c r="Y9" s="2">
        <v>4.0</v>
      </c>
      <c r="Z9" s="2">
        <v>3.0</v>
      </c>
      <c r="AA9" s="13">
        <f t="shared" si="4"/>
        <v>20</v>
      </c>
      <c r="AB9" s="13">
        <f t="shared" si="5"/>
        <v>27</v>
      </c>
      <c r="AC9" s="116">
        <f t="shared" si="6"/>
        <v>0.1755047386</v>
      </c>
    </row>
    <row r="10">
      <c r="A10" s="115" t="s">
        <v>387</v>
      </c>
      <c r="B10" s="2">
        <v>440.0</v>
      </c>
      <c r="C10" s="2">
        <v>52.0</v>
      </c>
      <c r="D10" s="2">
        <v>13.0</v>
      </c>
      <c r="E10" s="2">
        <v>13.0</v>
      </c>
      <c r="H10" s="119">
        <f t="shared" si="1"/>
        <v>57.2</v>
      </c>
      <c r="I10" s="2"/>
      <c r="J10" s="2">
        <v>4.0</v>
      </c>
      <c r="K10" s="2">
        <v>3.0</v>
      </c>
      <c r="N10" s="2">
        <v>3.0</v>
      </c>
      <c r="O10" s="2">
        <v>4.0</v>
      </c>
      <c r="P10" s="2">
        <v>3.0</v>
      </c>
      <c r="Q10" s="13">
        <f t="shared" si="2"/>
        <v>17</v>
      </c>
      <c r="R10" s="116">
        <f t="shared" si="3"/>
        <v>0.2972027972</v>
      </c>
      <c r="U10" s="2"/>
      <c r="X10" s="2">
        <v>3.0</v>
      </c>
      <c r="AA10" s="13">
        <f t="shared" si="4"/>
        <v>3</v>
      </c>
      <c r="AB10" s="13">
        <f t="shared" si="5"/>
        <v>14</v>
      </c>
      <c r="AC10" s="116">
        <f t="shared" si="6"/>
        <v>0.2447552448</v>
      </c>
    </row>
    <row r="11">
      <c r="A11" s="115" t="s">
        <v>220</v>
      </c>
      <c r="B11" s="2">
        <v>1768.0</v>
      </c>
      <c r="C11" s="2">
        <v>36.3</v>
      </c>
      <c r="D11" s="2">
        <v>31.4</v>
      </c>
      <c r="E11" s="2">
        <v>15.1</v>
      </c>
      <c r="G11" s="2">
        <v>4.7</v>
      </c>
      <c r="H11" s="119">
        <f t="shared" si="1"/>
        <v>555.152</v>
      </c>
      <c r="I11" s="2">
        <v>16.0</v>
      </c>
      <c r="J11" s="2">
        <v>16.0</v>
      </c>
      <c r="K11" s="2">
        <v>22.0</v>
      </c>
      <c r="L11" s="2">
        <v>24.0</v>
      </c>
      <c r="M11" s="2">
        <v>8.0</v>
      </c>
      <c r="N11" s="2">
        <v>24.0</v>
      </c>
      <c r="O11" s="2">
        <v>25.0</v>
      </c>
      <c r="P11" s="2">
        <v>24.0</v>
      </c>
      <c r="Q11" s="13">
        <f t="shared" si="2"/>
        <v>159</v>
      </c>
      <c r="R11" s="116">
        <f t="shared" si="3"/>
        <v>0.2864080468</v>
      </c>
      <c r="S11" s="2">
        <v>9.0</v>
      </c>
      <c r="T11" s="2">
        <v>8.0</v>
      </c>
      <c r="U11" s="2">
        <v>9.0</v>
      </c>
      <c r="V11" s="2">
        <v>10.0</v>
      </c>
      <c r="W11" s="2">
        <v>5.0</v>
      </c>
      <c r="X11" s="2">
        <v>11.0</v>
      </c>
      <c r="Y11" s="2">
        <v>8.0</v>
      </c>
      <c r="Z11" s="2">
        <v>9.0</v>
      </c>
      <c r="AA11" s="13">
        <f t="shared" si="4"/>
        <v>69</v>
      </c>
      <c r="AB11" s="13">
        <f t="shared" si="5"/>
        <v>90</v>
      </c>
      <c r="AC11" s="116">
        <f t="shared" si="6"/>
        <v>0.1621177623</v>
      </c>
    </row>
    <row r="12">
      <c r="A12" s="115" t="s">
        <v>10</v>
      </c>
      <c r="B12" s="2">
        <v>573.0</v>
      </c>
      <c r="C12" s="2">
        <v>39.0</v>
      </c>
      <c r="D12" s="2">
        <v>27.5</v>
      </c>
      <c r="E12" s="2">
        <v>12.0</v>
      </c>
      <c r="F12" s="2">
        <v>12.9</v>
      </c>
      <c r="G12" s="2">
        <v>3.1</v>
      </c>
      <c r="H12" s="119">
        <f t="shared" si="1"/>
        <v>157.575</v>
      </c>
      <c r="I12" s="2">
        <v>9.0</v>
      </c>
      <c r="J12" s="2">
        <v>3.0</v>
      </c>
      <c r="K12" s="2">
        <v>7.0</v>
      </c>
      <c r="L12" s="2">
        <v>5.0</v>
      </c>
      <c r="M12" s="2">
        <v>6.0</v>
      </c>
      <c r="N12" s="2">
        <v>6.0</v>
      </c>
      <c r="O12" s="2">
        <v>5.0</v>
      </c>
      <c r="P12" s="2">
        <v>4.0</v>
      </c>
      <c r="Q12" s="13">
        <f t="shared" si="2"/>
        <v>45</v>
      </c>
      <c r="R12" s="116">
        <f t="shared" si="3"/>
        <v>0.285578296</v>
      </c>
      <c r="S12" s="2">
        <v>3.0</v>
      </c>
      <c r="U12" s="2">
        <v>3.0</v>
      </c>
      <c r="Y12" s="2">
        <v>3.0</v>
      </c>
      <c r="AA12" s="13">
        <f t="shared" si="4"/>
        <v>9</v>
      </c>
      <c r="AB12" s="13">
        <f t="shared" si="5"/>
        <v>36</v>
      </c>
      <c r="AC12" s="116">
        <f t="shared" si="6"/>
        <v>0.2284626368</v>
      </c>
    </row>
    <row r="13">
      <c r="A13" s="115" t="s">
        <v>8</v>
      </c>
      <c r="B13" s="2">
        <v>790.0</v>
      </c>
      <c r="C13" s="2">
        <v>11.4</v>
      </c>
      <c r="D13" s="2">
        <v>73.1</v>
      </c>
      <c r="E13" s="2">
        <v>1.8</v>
      </c>
      <c r="F13" s="2">
        <v>10.8</v>
      </c>
      <c r="G13" s="2">
        <v>0.3</v>
      </c>
      <c r="H13" s="119">
        <f t="shared" si="1"/>
        <v>577.49</v>
      </c>
      <c r="I13" s="2">
        <v>22.0</v>
      </c>
      <c r="J13" s="2">
        <v>20.0</v>
      </c>
      <c r="K13" s="2">
        <v>19.0</v>
      </c>
      <c r="L13" s="2">
        <v>21.0</v>
      </c>
      <c r="M13" s="2">
        <v>23.0</v>
      </c>
      <c r="N13" s="2">
        <v>20.0</v>
      </c>
      <c r="O13" s="2">
        <v>21.0</v>
      </c>
      <c r="P13" s="2">
        <v>16.0</v>
      </c>
      <c r="Q13" s="13">
        <f t="shared" si="2"/>
        <v>162</v>
      </c>
      <c r="R13" s="116">
        <f t="shared" si="3"/>
        <v>0.2805243381</v>
      </c>
      <c r="U13" s="2">
        <v>4.0</v>
      </c>
      <c r="V13" s="2">
        <v>11.0</v>
      </c>
      <c r="W13" s="2">
        <v>5.0</v>
      </c>
      <c r="X13" s="2">
        <v>3.0</v>
      </c>
      <c r="Z13" s="2">
        <v>3.0</v>
      </c>
      <c r="AA13" s="13">
        <f t="shared" si="4"/>
        <v>26</v>
      </c>
      <c r="AB13" s="13">
        <f t="shared" si="5"/>
        <v>136</v>
      </c>
      <c r="AC13" s="116">
        <f t="shared" si="6"/>
        <v>0.2355019135</v>
      </c>
    </row>
    <row r="14">
      <c r="A14" s="2" t="s">
        <v>17</v>
      </c>
      <c r="B14" s="2">
        <v>1159.0</v>
      </c>
      <c r="C14" s="2">
        <v>21.5</v>
      </c>
      <c r="D14" s="2">
        <v>58.7</v>
      </c>
      <c r="E14" s="2">
        <v>7.0</v>
      </c>
      <c r="F14" s="2">
        <v>12.2</v>
      </c>
      <c r="G14" s="2"/>
      <c r="H14" s="119">
        <f t="shared" si="1"/>
        <v>680.333</v>
      </c>
      <c r="I14" s="2">
        <v>27.0</v>
      </c>
      <c r="J14" s="2">
        <v>24.0</v>
      </c>
      <c r="K14" s="2">
        <v>21.0</v>
      </c>
      <c r="L14" s="2">
        <v>29.0</v>
      </c>
      <c r="M14" s="2">
        <v>20.0</v>
      </c>
      <c r="N14" s="2">
        <v>18.0</v>
      </c>
      <c r="O14" s="2">
        <v>24.0</v>
      </c>
      <c r="P14" s="2">
        <v>25.0</v>
      </c>
      <c r="Q14" s="13">
        <f t="shared" si="2"/>
        <v>188</v>
      </c>
      <c r="R14" s="116">
        <f t="shared" si="3"/>
        <v>0.2763352652</v>
      </c>
      <c r="S14" s="2">
        <v>17.0</v>
      </c>
      <c r="T14" s="2">
        <v>13.0</v>
      </c>
      <c r="U14" s="2">
        <v>10.0</v>
      </c>
      <c r="V14" s="2">
        <v>12.0</v>
      </c>
      <c r="W14" s="2">
        <v>10.0</v>
      </c>
      <c r="X14" s="2">
        <v>4.0</v>
      </c>
      <c r="Y14" s="2">
        <v>10.0</v>
      </c>
      <c r="Z14" s="2">
        <v>10.0</v>
      </c>
      <c r="AA14" s="13">
        <f t="shared" si="4"/>
        <v>86</v>
      </c>
      <c r="AB14" s="13">
        <f t="shared" si="5"/>
        <v>102</v>
      </c>
      <c r="AC14" s="116">
        <f t="shared" si="6"/>
        <v>0.1499265801</v>
      </c>
    </row>
    <row r="15">
      <c r="A15" s="2" t="s">
        <v>323</v>
      </c>
      <c r="B15" s="2">
        <v>1183.0</v>
      </c>
      <c r="C15" s="2">
        <v>60.8</v>
      </c>
      <c r="D15" s="2">
        <v>22.8</v>
      </c>
      <c r="E15" s="2">
        <v>7.8</v>
      </c>
      <c r="F15" s="2">
        <v>6.6</v>
      </c>
      <c r="G15" s="2">
        <v>1.0</v>
      </c>
      <c r="H15" s="119">
        <f t="shared" si="1"/>
        <v>269.724</v>
      </c>
      <c r="I15" s="2">
        <v>11.0</v>
      </c>
      <c r="J15" s="2">
        <v>5.0</v>
      </c>
      <c r="K15" s="2">
        <v>7.0</v>
      </c>
      <c r="L15" s="2">
        <v>11.0</v>
      </c>
      <c r="M15" s="2">
        <v>11.0</v>
      </c>
      <c r="N15" s="2">
        <v>4.0</v>
      </c>
      <c r="O15" s="2">
        <v>12.0</v>
      </c>
      <c r="P15" s="2">
        <v>11.0</v>
      </c>
      <c r="Q15" s="13">
        <f t="shared" si="2"/>
        <v>72</v>
      </c>
      <c r="R15" s="116">
        <f t="shared" si="3"/>
        <v>0.2669395382</v>
      </c>
      <c r="S15" s="2">
        <v>4.0</v>
      </c>
      <c r="T15" s="2">
        <v>4.0</v>
      </c>
      <c r="W15" s="2">
        <v>7.0</v>
      </c>
      <c r="Y15" s="2">
        <v>5.0</v>
      </c>
      <c r="Z15" s="2">
        <v>3.0</v>
      </c>
      <c r="AA15" s="13">
        <f t="shared" si="4"/>
        <v>23</v>
      </c>
      <c r="AB15" s="13">
        <f t="shared" si="5"/>
        <v>49</v>
      </c>
      <c r="AC15" s="116">
        <f t="shared" si="6"/>
        <v>0.1816671857</v>
      </c>
    </row>
    <row r="16">
      <c r="A16" s="2" t="s">
        <v>324</v>
      </c>
      <c r="B16" s="2">
        <v>2652.0</v>
      </c>
      <c r="C16" s="2">
        <v>17.7</v>
      </c>
      <c r="D16" s="2">
        <v>55.0</v>
      </c>
      <c r="E16" s="2">
        <v>14.1</v>
      </c>
      <c r="F16" s="2">
        <v>10.7</v>
      </c>
      <c r="G16" s="2">
        <v>1.9</v>
      </c>
      <c r="H16" s="119">
        <f t="shared" si="1"/>
        <v>1458.6</v>
      </c>
      <c r="I16" s="2">
        <v>62.0</v>
      </c>
      <c r="J16" s="2">
        <v>66.0</v>
      </c>
      <c r="K16" s="2">
        <v>72.0</v>
      </c>
      <c r="L16" s="2">
        <v>44.0</v>
      </c>
      <c r="M16" s="2">
        <v>41.0</v>
      </c>
      <c r="N16" s="2">
        <v>30.0</v>
      </c>
      <c r="O16" s="2">
        <v>38.0</v>
      </c>
      <c r="P16" s="2">
        <v>26.0</v>
      </c>
      <c r="Q16" s="13">
        <f t="shared" si="2"/>
        <v>379</v>
      </c>
      <c r="R16" s="116">
        <f t="shared" si="3"/>
        <v>0.259838201</v>
      </c>
      <c r="S16" s="2">
        <v>33.0</v>
      </c>
      <c r="T16" s="2">
        <v>40.0</v>
      </c>
      <c r="U16" s="2">
        <v>45.0</v>
      </c>
      <c r="V16" s="2">
        <v>35.0</v>
      </c>
      <c r="W16" s="2">
        <v>27.0</v>
      </c>
      <c r="X16" s="2">
        <v>12.0</v>
      </c>
      <c r="Y16" s="2">
        <v>21.0</v>
      </c>
      <c r="Z16" s="2">
        <v>12.0</v>
      </c>
      <c r="AA16" s="13">
        <f t="shared" si="4"/>
        <v>225</v>
      </c>
      <c r="AB16" s="13">
        <f t="shared" si="5"/>
        <v>154</v>
      </c>
      <c r="AC16" s="116">
        <f t="shared" si="6"/>
        <v>0.1055806938</v>
      </c>
    </row>
    <row r="17">
      <c r="A17" s="2" t="s">
        <v>314</v>
      </c>
      <c r="B17" s="2">
        <f>88*4</f>
        <v>352</v>
      </c>
      <c r="C17" s="2">
        <v>29.3</v>
      </c>
      <c r="D17" s="2">
        <v>29.3</v>
      </c>
      <c r="E17" s="2">
        <v>6.1</v>
      </c>
      <c r="F17" s="2">
        <v>24.2</v>
      </c>
      <c r="G17" s="2">
        <v>2.2</v>
      </c>
      <c r="H17" s="119">
        <f t="shared" si="1"/>
        <v>103.136</v>
      </c>
      <c r="I17" s="2">
        <v>8.0</v>
      </c>
      <c r="J17" s="2">
        <v>7.0</v>
      </c>
      <c r="K17" s="2">
        <v>4.0</v>
      </c>
      <c r="L17" s="2">
        <v>3.0</v>
      </c>
      <c r="P17" s="2">
        <v>4.0</v>
      </c>
      <c r="Q17" s="13">
        <f t="shared" si="2"/>
        <v>26</v>
      </c>
      <c r="R17" s="116">
        <f t="shared" si="3"/>
        <v>0.2520943221</v>
      </c>
      <c r="T17" s="2">
        <v>3.0</v>
      </c>
      <c r="AA17" s="13">
        <f t="shared" si="4"/>
        <v>3</v>
      </c>
      <c r="AB17" s="13">
        <f t="shared" si="5"/>
        <v>23</v>
      </c>
      <c r="AC17" s="116">
        <f t="shared" si="6"/>
        <v>0.2230065157</v>
      </c>
    </row>
    <row r="18">
      <c r="A18" s="115" t="s">
        <v>388</v>
      </c>
      <c r="B18" s="2">
        <v>655.0</v>
      </c>
      <c r="C18" s="2">
        <v>26.8</v>
      </c>
      <c r="D18" s="2">
        <v>38.9</v>
      </c>
      <c r="E18" s="2">
        <v>18.2</v>
      </c>
      <c r="H18" s="119">
        <f t="shared" si="1"/>
        <v>254.795</v>
      </c>
      <c r="I18" s="2">
        <v>9.0</v>
      </c>
      <c r="J18" s="2">
        <v>6.0</v>
      </c>
      <c r="K18" s="2">
        <v>10.0</v>
      </c>
      <c r="L18" s="2">
        <v>9.0</v>
      </c>
      <c r="M18" s="2">
        <v>3.0</v>
      </c>
      <c r="N18" s="2">
        <v>6.0</v>
      </c>
      <c r="O18" s="2">
        <v>10.0</v>
      </c>
      <c r="P18" s="2">
        <v>10.0</v>
      </c>
      <c r="Q18" s="13">
        <f t="shared" si="2"/>
        <v>63</v>
      </c>
      <c r="R18" s="116">
        <f t="shared" si="3"/>
        <v>0.2472575992</v>
      </c>
      <c r="V18" s="2">
        <v>6.0</v>
      </c>
      <c r="Z18" s="2">
        <v>3.0</v>
      </c>
      <c r="AA18" s="13">
        <f t="shared" si="4"/>
        <v>9</v>
      </c>
      <c r="AB18" s="13">
        <f t="shared" si="5"/>
        <v>54</v>
      </c>
      <c r="AC18" s="116">
        <f t="shared" si="6"/>
        <v>0.2119350851</v>
      </c>
    </row>
    <row r="19">
      <c r="A19" s="2" t="s">
        <v>389</v>
      </c>
      <c r="B19" s="2">
        <v>1644.0</v>
      </c>
      <c r="C19" s="2">
        <v>67.6</v>
      </c>
      <c r="D19" s="2">
        <v>5.7</v>
      </c>
      <c r="E19" s="2">
        <v>11.5</v>
      </c>
      <c r="H19" s="119">
        <f t="shared" si="1"/>
        <v>93.708</v>
      </c>
      <c r="I19" s="2">
        <v>6.0</v>
      </c>
      <c r="J19" s="2">
        <v>3.0</v>
      </c>
      <c r="K19" s="2">
        <v>4.0</v>
      </c>
      <c r="M19" s="2">
        <v>4.0</v>
      </c>
      <c r="O19" s="2">
        <v>3.0</v>
      </c>
      <c r="P19" s="2">
        <v>3.0</v>
      </c>
      <c r="Q19" s="13">
        <f t="shared" si="2"/>
        <v>23</v>
      </c>
      <c r="R19" s="116">
        <f t="shared" si="3"/>
        <v>0.2454432919</v>
      </c>
      <c r="S19" s="2">
        <v>3.0</v>
      </c>
      <c r="AA19" s="13">
        <f t="shared" si="4"/>
        <v>3</v>
      </c>
      <c r="AB19" s="13">
        <f t="shared" si="5"/>
        <v>20</v>
      </c>
      <c r="AC19" s="116">
        <f t="shared" si="6"/>
        <v>0.2134289495</v>
      </c>
    </row>
    <row r="20">
      <c r="A20" s="2" t="s">
        <v>13</v>
      </c>
      <c r="B20" s="2">
        <f>1868</f>
        <v>1868</v>
      </c>
      <c r="C20" s="2">
        <v>30.6</v>
      </c>
      <c r="D20" s="2">
        <v>45.7</v>
      </c>
      <c r="E20" s="2">
        <v>11.7</v>
      </c>
      <c r="F20" s="2">
        <v>10.0</v>
      </c>
      <c r="G20" s="2">
        <v>1.4</v>
      </c>
      <c r="H20" s="119">
        <f t="shared" si="1"/>
        <v>853.676</v>
      </c>
      <c r="I20" s="2">
        <v>27.0</v>
      </c>
      <c r="J20" s="2">
        <v>27.0</v>
      </c>
      <c r="K20" s="2">
        <v>22.0</v>
      </c>
      <c r="L20" s="2">
        <v>37.0</v>
      </c>
      <c r="M20" s="2">
        <v>21.0</v>
      </c>
      <c r="N20" s="2">
        <v>22.0</v>
      </c>
      <c r="O20" s="2">
        <v>29.0</v>
      </c>
      <c r="P20" s="2">
        <v>24.0</v>
      </c>
      <c r="Q20" s="13">
        <f t="shared" si="2"/>
        <v>209</v>
      </c>
      <c r="R20" s="116">
        <f t="shared" si="3"/>
        <v>0.244823563</v>
      </c>
      <c r="S20" s="2">
        <v>15.0</v>
      </c>
      <c r="T20" s="2">
        <v>10.0</v>
      </c>
      <c r="U20" s="2">
        <v>10.0</v>
      </c>
      <c r="V20" s="2">
        <v>20.0</v>
      </c>
      <c r="W20" s="2">
        <v>4.0</v>
      </c>
      <c r="X20" s="2">
        <v>4.0</v>
      </c>
      <c r="Y20" s="2">
        <v>7.0</v>
      </c>
      <c r="Z20" s="2">
        <v>3.0</v>
      </c>
      <c r="AA20" s="13">
        <f t="shared" si="4"/>
        <v>73</v>
      </c>
      <c r="AB20" s="13">
        <f t="shared" si="5"/>
        <v>136</v>
      </c>
      <c r="AC20" s="116">
        <f t="shared" si="6"/>
        <v>0.1593110267</v>
      </c>
    </row>
    <row r="21">
      <c r="A21" s="115" t="s">
        <v>0</v>
      </c>
      <c r="B21" s="2">
        <v>370.0</v>
      </c>
      <c r="C21" s="2">
        <v>26.8</v>
      </c>
      <c r="D21" s="2">
        <v>24.3</v>
      </c>
      <c r="E21" s="2">
        <v>8.4</v>
      </c>
      <c r="G21" s="2">
        <v>12.4</v>
      </c>
      <c r="H21" s="119">
        <f t="shared" si="1"/>
        <v>89.91</v>
      </c>
      <c r="I21" s="2">
        <v>3.0</v>
      </c>
      <c r="J21" s="2">
        <v>6.0</v>
      </c>
      <c r="K21" s="2">
        <v>3.0</v>
      </c>
      <c r="L21" s="2">
        <v>3.0</v>
      </c>
      <c r="N21" s="2">
        <v>3.0</v>
      </c>
      <c r="O21" s="2">
        <v>4.0</v>
      </c>
      <c r="Q21" s="13">
        <f t="shared" si="2"/>
        <v>22</v>
      </c>
      <c r="R21" s="116">
        <f t="shared" si="3"/>
        <v>0.2446891336</v>
      </c>
      <c r="AA21" s="13">
        <f t="shared" si="4"/>
        <v>0</v>
      </c>
      <c r="AB21" s="13">
        <f t="shared" si="5"/>
        <v>22</v>
      </c>
      <c r="AC21" s="116">
        <f t="shared" si="6"/>
        <v>0.2446891336</v>
      </c>
    </row>
    <row r="22">
      <c r="A22" s="2" t="s">
        <v>19</v>
      </c>
      <c r="B22" s="2">
        <v>2136.0</v>
      </c>
      <c r="C22" s="2">
        <v>35.3</v>
      </c>
      <c r="D22" s="2">
        <v>28.9</v>
      </c>
      <c r="E22" s="2">
        <v>27.4</v>
      </c>
      <c r="F22" s="2">
        <v>6.3</v>
      </c>
      <c r="G22" s="2">
        <v>1.0</v>
      </c>
      <c r="H22" s="119">
        <f t="shared" si="1"/>
        <v>617.304</v>
      </c>
      <c r="I22" s="2">
        <v>19.0</v>
      </c>
      <c r="J22" s="2">
        <v>14.0</v>
      </c>
      <c r="K22" s="2">
        <v>25.0</v>
      </c>
      <c r="L22" s="2">
        <v>22.0</v>
      </c>
      <c r="M22" s="2">
        <v>20.0</v>
      </c>
      <c r="N22" s="2">
        <v>18.0</v>
      </c>
      <c r="O22" s="2">
        <v>18.0</v>
      </c>
      <c r="P22" s="2">
        <v>14.0</v>
      </c>
      <c r="Q22" s="13">
        <f t="shared" si="2"/>
        <v>150</v>
      </c>
      <c r="R22" s="116">
        <f t="shared" si="3"/>
        <v>0.2429921076</v>
      </c>
      <c r="S22" s="2">
        <v>10.0</v>
      </c>
      <c r="T22" s="2">
        <v>8.0</v>
      </c>
      <c r="U22" s="2">
        <v>11.0</v>
      </c>
      <c r="V22" s="2">
        <v>11.0</v>
      </c>
      <c r="W22" s="2">
        <v>12.0</v>
      </c>
      <c r="X22" s="2">
        <v>8.0</v>
      </c>
      <c r="Y22" s="2">
        <v>8.0</v>
      </c>
      <c r="Z22" s="2">
        <v>7.0</v>
      </c>
      <c r="AA22" s="13">
        <f t="shared" si="4"/>
        <v>75</v>
      </c>
      <c r="AB22" s="13">
        <f t="shared" si="5"/>
        <v>75</v>
      </c>
      <c r="AC22" s="116">
        <f t="shared" si="6"/>
        <v>0.1214960538</v>
      </c>
    </row>
    <row r="23">
      <c r="A23" s="115" t="s">
        <v>342</v>
      </c>
      <c r="B23" s="2">
        <v>629.0</v>
      </c>
      <c r="C23" s="2">
        <v>66.8</v>
      </c>
      <c r="D23" s="2">
        <v>9.9</v>
      </c>
      <c r="E23" s="2"/>
      <c r="F23" s="2"/>
      <c r="G23" s="2"/>
      <c r="H23" s="119">
        <f t="shared" si="1"/>
        <v>62.271</v>
      </c>
      <c r="I23" s="2">
        <v>3.0</v>
      </c>
      <c r="J23" s="2"/>
      <c r="K23" s="2"/>
      <c r="L23" s="2">
        <v>5.0</v>
      </c>
      <c r="M23" s="2">
        <v>3.0</v>
      </c>
      <c r="N23" s="2"/>
      <c r="O23" s="2">
        <v>4.0</v>
      </c>
      <c r="P23" s="2"/>
      <c r="Q23" s="13">
        <f t="shared" si="2"/>
        <v>15</v>
      </c>
      <c r="R23" s="116">
        <f t="shared" si="3"/>
        <v>0.2408825938</v>
      </c>
      <c r="S23" s="2">
        <v>3.0</v>
      </c>
      <c r="T23" s="2"/>
      <c r="U23" s="2"/>
      <c r="V23" s="2">
        <v>3.0</v>
      </c>
      <c r="W23" s="2"/>
      <c r="X23" s="2"/>
      <c r="Y23" s="2"/>
      <c r="Z23" s="2"/>
      <c r="AA23" s="13">
        <f t="shared" si="4"/>
        <v>6</v>
      </c>
      <c r="AB23" s="13">
        <f t="shared" si="5"/>
        <v>9</v>
      </c>
      <c r="AC23" s="116">
        <f t="shared" si="6"/>
        <v>0.1445295563</v>
      </c>
    </row>
    <row r="24">
      <c r="A24" s="2" t="s">
        <v>325</v>
      </c>
      <c r="B24" s="2">
        <v>1187.0</v>
      </c>
      <c r="C24" s="2">
        <v>31.3</v>
      </c>
      <c r="D24" s="2">
        <v>30.9</v>
      </c>
      <c r="E24" s="2">
        <v>16.0</v>
      </c>
      <c r="F24" s="2">
        <v>16.8</v>
      </c>
      <c r="G24" s="2">
        <v>4.6</v>
      </c>
      <c r="H24" s="119">
        <f t="shared" si="1"/>
        <v>366.783</v>
      </c>
      <c r="I24" s="2">
        <v>13.0</v>
      </c>
      <c r="J24" s="2">
        <v>15.0</v>
      </c>
      <c r="K24" s="2">
        <v>13.0</v>
      </c>
      <c r="L24" s="2">
        <v>16.0</v>
      </c>
      <c r="M24" s="2">
        <v>9.0</v>
      </c>
      <c r="N24" s="2">
        <v>7.0</v>
      </c>
      <c r="O24" s="2">
        <v>4.0</v>
      </c>
      <c r="P24" s="2">
        <v>8.0</v>
      </c>
      <c r="Q24" s="13">
        <f t="shared" si="2"/>
        <v>85</v>
      </c>
      <c r="R24" s="116">
        <f t="shared" si="3"/>
        <v>0.2317446556</v>
      </c>
      <c r="S24" s="2">
        <v>8.0</v>
      </c>
      <c r="T24" s="2">
        <v>11.0</v>
      </c>
      <c r="U24" s="2">
        <v>10.0</v>
      </c>
      <c r="V24" s="2">
        <v>8.0</v>
      </c>
      <c r="W24" s="2">
        <v>4.0</v>
      </c>
      <c r="Y24" s="2">
        <v>3.0</v>
      </c>
      <c r="Z24" s="2">
        <v>4.0</v>
      </c>
      <c r="AA24" s="13">
        <f t="shared" si="4"/>
        <v>48</v>
      </c>
      <c r="AB24" s="13">
        <f t="shared" si="5"/>
        <v>37</v>
      </c>
      <c r="AC24" s="116">
        <f t="shared" si="6"/>
        <v>0.1008770854</v>
      </c>
    </row>
    <row r="25">
      <c r="A25" s="115" t="s">
        <v>390</v>
      </c>
      <c r="B25" s="2">
        <v>1625.0</v>
      </c>
      <c r="C25" s="2">
        <v>29.9</v>
      </c>
      <c r="D25" s="2">
        <v>31.8</v>
      </c>
      <c r="E25" s="2">
        <v>8.9</v>
      </c>
      <c r="H25" s="119">
        <f t="shared" si="1"/>
        <v>516.75</v>
      </c>
      <c r="I25" s="2">
        <v>12.0</v>
      </c>
      <c r="J25" s="2">
        <v>10.0</v>
      </c>
      <c r="K25" s="2">
        <v>16.0</v>
      </c>
      <c r="L25" s="2">
        <v>16.0</v>
      </c>
      <c r="M25" s="2">
        <v>17.0</v>
      </c>
      <c r="N25" s="2">
        <v>12.0</v>
      </c>
      <c r="O25" s="2">
        <v>26.0</v>
      </c>
      <c r="P25" s="2">
        <v>10.0</v>
      </c>
      <c r="Q25" s="13">
        <f t="shared" si="2"/>
        <v>119</v>
      </c>
      <c r="R25" s="116">
        <f t="shared" si="3"/>
        <v>0.2302854378</v>
      </c>
      <c r="S25" s="2">
        <v>5.0</v>
      </c>
      <c r="T25" s="2">
        <v>6.0</v>
      </c>
      <c r="U25" s="2">
        <v>4.0</v>
      </c>
      <c r="V25" s="2">
        <v>9.0</v>
      </c>
      <c r="W25" s="2">
        <v>7.0</v>
      </c>
      <c r="X25" s="2">
        <v>5.0</v>
      </c>
      <c r="Y25" s="2">
        <v>7.0</v>
      </c>
      <c r="AA25" s="13">
        <f t="shared" si="4"/>
        <v>43</v>
      </c>
      <c r="AB25" s="13">
        <f t="shared" si="5"/>
        <v>76</v>
      </c>
      <c r="AC25" s="116">
        <f t="shared" si="6"/>
        <v>0.1470730527</v>
      </c>
    </row>
    <row r="26">
      <c r="A26" s="2" t="s">
        <v>330</v>
      </c>
      <c r="B26" s="2">
        <v>1757.0</v>
      </c>
      <c r="C26" s="2">
        <v>30.2</v>
      </c>
      <c r="D26" s="2">
        <v>27.3</v>
      </c>
      <c r="E26" s="2">
        <v>26.6</v>
      </c>
      <c r="F26" s="2">
        <v>12.7</v>
      </c>
      <c r="G26" s="2">
        <v>0.3</v>
      </c>
      <c r="H26" s="119">
        <f t="shared" si="1"/>
        <v>479.661</v>
      </c>
      <c r="I26" s="2">
        <v>23.0</v>
      </c>
      <c r="J26" s="2">
        <v>10.0</v>
      </c>
      <c r="K26" s="2">
        <v>12.0</v>
      </c>
      <c r="L26" s="2">
        <v>14.0</v>
      </c>
      <c r="M26" s="2">
        <v>8.0</v>
      </c>
      <c r="N26" s="2">
        <v>13.0</v>
      </c>
      <c r="O26" s="2">
        <v>13.0</v>
      </c>
      <c r="P26" s="2">
        <v>15.0</v>
      </c>
      <c r="Q26" s="13">
        <f t="shared" si="2"/>
        <v>108</v>
      </c>
      <c r="R26" s="116">
        <f t="shared" si="3"/>
        <v>0.2251590186</v>
      </c>
      <c r="S26" s="2">
        <v>16.0</v>
      </c>
      <c r="T26" s="2">
        <v>6.0</v>
      </c>
      <c r="U26" s="2">
        <v>9.0</v>
      </c>
      <c r="V26" s="2">
        <v>10.0</v>
      </c>
      <c r="W26" s="2">
        <v>5.0</v>
      </c>
      <c r="X26" s="2">
        <v>6.0</v>
      </c>
      <c r="Y26" s="2">
        <v>6.0</v>
      </c>
      <c r="Z26" s="2">
        <v>5.0</v>
      </c>
      <c r="AA26" s="13">
        <f t="shared" si="4"/>
        <v>63</v>
      </c>
      <c r="AB26" s="13">
        <f t="shared" si="5"/>
        <v>45</v>
      </c>
      <c r="AC26" s="116">
        <f t="shared" si="6"/>
        <v>0.09381625773</v>
      </c>
    </row>
    <row r="27">
      <c r="A27" s="2" t="s">
        <v>14</v>
      </c>
      <c r="B27" s="2">
        <v>2010.0</v>
      </c>
      <c r="C27" s="2">
        <v>38.4</v>
      </c>
      <c r="D27" s="2">
        <v>35.4</v>
      </c>
      <c r="E27" s="2">
        <v>13.7</v>
      </c>
      <c r="F27" s="2">
        <v>9.9</v>
      </c>
      <c r="G27" s="2">
        <v>1.6</v>
      </c>
      <c r="H27" s="119">
        <f t="shared" si="1"/>
        <v>711.54</v>
      </c>
      <c r="I27" s="2">
        <v>21.0</v>
      </c>
      <c r="J27" s="2">
        <v>19.0</v>
      </c>
      <c r="K27" s="2">
        <v>19.0</v>
      </c>
      <c r="L27" s="2">
        <v>26.0</v>
      </c>
      <c r="M27" s="2">
        <v>18.0</v>
      </c>
      <c r="N27" s="2">
        <v>19.0</v>
      </c>
      <c r="O27" s="2">
        <v>16.0</v>
      </c>
      <c r="P27" s="2">
        <v>18.0</v>
      </c>
      <c r="Q27" s="13">
        <f t="shared" si="2"/>
        <v>156</v>
      </c>
      <c r="R27" s="116">
        <f t="shared" si="3"/>
        <v>0.2192427692</v>
      </c>
      <c r="S27" s="2">
        <v>15.0</v>
      </c>
      <c r="T27" s="2">
        <v>7.0</v>
      </c>
      <c r="U27" s="2">
        <v>3.0</v>
      </c>
      <c r="V27" s="2">
        <v>14.0</v>
      </c>
      <c r="W27" s="2">
        <v>0.0</v>
      </c>
      <c r="X27" s="2">
        <v>9.0</v>
      </c>
      <c r="Y27" s="2">
        <v>4.0</v>
      </c>
      <c r="Z27" s="2">
        <v>0.0</v>
      </c>
      <c r="AA27" s="13">
        <f t="shared" si="4"/>
        <v>52</v>
      </c>
      <c r="AB27" s="13">
        <f t="shared" si="5"/>
        <v>104</v>
      </c>
      <c r="AC27" s="116">
        <f t="shared" si="6"/>
        <v>0.1461618461</v>
      </c>
    </row>
    <row r="28">
      <c r="A28" s="2" t="s">
        <v>188</v>
      </c>
      <c r="B28" s="2">
        <v>2221.0</v>
      </c>
      <c r="C28" s="2">
        <v>39.7</v>
      </c>
      <c r="D28" s="2">
        <v>8.1</v>
      </c>
      <c r="E28" s="2">
        <v>38.8</v>
      </c>
      <c r="F28" s="2">
        <v>4.1</v>
      </c>
      <c r="G28" s="2">
        <v>4.7</v>
      </c>
      <c r="H28" s="119">
        <f t="shared" si="1"/>
        <v>179.901</v>
      </c>
      <c r="I28" s="2">
        <v>7.0</v>
      </c>
      <c r="J28" s="2">
        <v>10.0</v>
      </c>
      <c r="K28" s="2">
        <v>8.0</v>
      </c>
      <c r="L28" s="2">
        <v>3.0</v>
      </c>
      <c r="N28" s="2">
        <v>4.0</v>
      </c>
      <c r="O28" s="2">
        <v>4.0</v>
      </c>
      <c r="P28" s="2">
        <v>3.0</v>
      </c>
      <c r="Q28" s="13">
        <f t="shared" si="2"/>
        <v>39</v>
      </c>
      <c r="R28" s="116">
        <f t="shared" si="3"/>
        <v>0.2167858989</v>
      </c>
      <c r="S28" s="2">
        <v>6.0</v>
      </c>
      <c r="T28" s="2">
        <v>4.0</v>
      </c>
      <c r="U28" s="2">
        <v>4.0</v>
      </c>
      <c r="Z28" s="2">
        <v>3.0</v>
      </c>
      <c r="AA28" s="13">
        <f t="shared" si="4"/>
        <v>17</v>
      </c>
      <c r="AB28" s="13">
        <f t="shared" si="5"/>
        <v>22</v>
      </c>
      <c r="AC28" s="116">
        <f t="shared" si="6"/>
        <v>0.1222894814</v>
      </c>
    </row>
    <row r="29">
      <c r="A29" s="115" t="s">
        <v>391</v>
      </c>
      <c r="B29" s="2">
        <v>550.0</v>
      </c>
      <c r="C29" s="2">
        <v>25.4</v>
      </c>
      <c r="D29" s="2">
        <v>32.9</v>
      </c>
      <c r="E29" s="2">
        <v>22.1</v>
      </c>
      <c r="H29" s="119">
        <f t="shared" si="1"/>
        <v>180.95</v>
      </c>
      <c r="I29" s="2">
        <v>6.0</v>
      </c>
      <c r="J29" s="2">
        <v>3.0</v>
      </c>
      <c r="K29" s="2">
        <v>9.0</v>
      </c>
      <c r="L29" s="2">
        <v>5.0</v>
      </c>
      <c r="N29" s="2">
        <v>3.0</v>
      </c>
      <c r="O29" s="2">
        <v>10.0</v>
      </c>
      <c r="P29" s="2">
        <v>3.0</v>
      </c>
      <c r="Q29" s="13">
        <f t="shared" si="2"/>
        <v>39</v>
      </c>
      <c r="R29" s="116">
        <f t="shared" si="3"/>
        <v>0.2155291517</v>
      </c>
      <c r="Y29" s="2">
        <v>7.0</v>
      </c>
      <c r="AA29" s="13">
        <f t="shared" si="4"/>
        <v>7</v>
      </c>
      <c r="AB29" s="13">
        <f t="shared" si="5"/>
        <v>32</v>
      </c>
      <c r="AC29" s="116">
        <f t="shared" si="6"/>
        <v>0.1768444322</v>
      </c>
    </row>
    <row r="30">
      <c r="A30" s="2" t="s">
        <v>316</v>
      </c>
      <c r="B30" s="2">
        <v>1839.0</v>
      </c>
      <c r="C30" s="2">
        <v>9.1</v>
      </c>
      <c r="D30" s="2">
        <v>78.4</v>
      </c>
      <c r="E30" s="2">
        <v>3.9</v>
      </c>
      <c r="F30" s="2">
        <v>8.2</v>
      </c>
      <c r="G30" s="2">
        <v>0.2</v>
      </c>
      <c r="H30" s="119">
        <f t="shared" si="1"/>
        <v>1441.776</v>
      </c>
      <c r="I30" s="2">
        <v>32.0</v>
      </c>
      <c r="J30" s="2">
        <v>51.0</v>
      </c>
      <c r="K30" s="2">
        <v>29.0</v>
      </c>
      <c r="L30" s="2">
        <v>43.0</v>
      </c>
      <c r="M30" s="2">
        <v>39.0</v>
      </c>
      <c r="N30" s="2">
        <v>48.0</v>
      </c>
      <c r="O30" s="2">
        <v>37.0</v>
      </c>
      <c r="P30" s="2">
        <v>26.0</v>
      </c>
      <c r="Q30" s="13">
        <f t="shared" si="2"/>
        <v>305</v>
      </c>
      <c r="R30" s="116">
        <f t="shared" si="3"/>
        <v>0.2115446505</v>
      </c>
      <c r="S30" s="2">
        <v>27.0</v>
      </c>
      <c r="T30" s="2">
        <v>28.0</v>
      </c>
      <c r="U30" s="2">
        <v>12.0</v>
      </c>
      <c r="V30" s="2">
        <v>30.0</v>
      </c>
      <c r="W30" s="2">
        <v>14.0</v>
      </c>
      <c r="X30" s="2">
        <v>13.0</v>
      </c>
      <c r="Y30" s="2">
        <v>19.0</v>
      </c>
      <c r="Z30" s="2">
        <v>16.0</v>
      </c>
      <c r="AA30" s="13">
        <f t="shared" si="4"/>
        <v>159</v>
      </c>
      <c r="AB30" s="13">
        <f t="shared" si="5"/>
        <v>146</v>
      </c>
      <c r="AC30" s="116">
        <f t="shared" si="6"/>
        <v>0.1012639966</v>
      </c>
    </row>
    <row r="31">
      <c r="A31" s="115" t="s">
        <v>2</v>
      </c>
      <c r="B31" s="2">
        <v>345.0</v>
      </c>
      <c r="D31" s="2">
        <v>27.5</v>
      </c>
      <c r="H31" s="119">
        <f t="shared" si="1"/>
        <v>94.875</v>
      </c>
      <c r="J31" s="2">
        <v>8.0</v>
      </c>
      <c r="N31" s="2">
        <v>6.0</v>
      </c>
      <c r="O31" s="2">
        <v>3.0</v>
      </c>
      <c r="P31" s="2">
        <v>3.0</v>
      </c>
      <c r="Q31" s="13">
        <f t="shared" si="2"/>
        <v>20</v>
      </c>
      <c r="R31" s="116">
        <f t="shared" si="3"/>
        <v>0.2108036891</v>
      </c>
      <c r="X31" s="2">
        <v>3.0</v>
      </c>
      <c r="AA31" s="13">
        <f t="shared" si="4"/>
        <v>3</v>
      </c>
      <c r="AB31" s="13">
        <f t="shared" si="5"/>
        <v>17</v>
      </c>
      <c r="AC31" s="116">
        <f t="shared" si="6"/>
        <v>0.1791831357</v>
      </c>
    </row>
    <row r="32">
      <c r="A32" s="115" t="s">
        <v>392</v>
      </c>
      <c r="B32" s="2">
        <v>1259.0</v>
      </c>
      <c r="C32" s="2">
        <v>49.2</v>
      </c>
      <c r="D32" s="2">
        <v>14.2</v>
      </c>
      <c r="G32" s="2">
        <v>21.4</v>
      </c>
      <c r="H32" s="119">
        <f t="shared" si="1"/>
        <v>178.778</v>
      </c>
      <c r="I32" s="2">
        <v>9.0</v>
      </c>
      <c r="J32" s="2">
        <v>5.0</v>
      </c>
      <c r="L32" s="2">
        <v>7.0</v>
      </c>
      <c r="M32" s="2">
        <v>3.0</v>
      </c>
      <c r="N32" s="2">
        <v>5.0</v>
      </c>
      <c r="O32" s="2">
        <v>3.0</v>
      </c>
      <c r="P32" s="2">
        <v>4.0</v>
      </c>
      <c r="Q32" s="13">
        <f t="shared" si="2"/>
        <v>36</v>
      </c>
      <c r="R32" s="116">
        <f t="shared" si="3"/>
        <v>0.2013670586</v>
      </c>
      <c r="S32" s="2">
        <v>5.0</v>
      </c>
      <c r="V32" s="2">
        <v>3.0</v>
      </c>
      <c r="X32" s="2">
        <v>4.0</v>
      </c>
      <c r="AA32" s="13">
        <f t="shared" si="4"/>
        <v>12</v>
      </c>
      <c r="AB32" s="13">
        <f t="shared" si="5"/>
        <v>24</v>
      </c>
      <c r="AC32" s="116">
        <f t="shared" si="6"/>
        <v>0.1342447057</v>
      </c>
    </row>
    <row r="33">
      <c r="A33" s="115" t="s">
        <v>393</v>
      </c>
      <c r="B33" s="2">
        <v>550.0</v>
      </c>
      <c r="C33" s="2">
        <v>62.0</v>
      </c>
      <c r="D33" s="2">
        <v>38.0</v>
      </c>
      <c r="H33" s="119">
        <f t="shared" si="1"/>
        <v>209</v>
      </c>
      <c r="I33" s="2">
        <v>7.0</v>
      </c>
      <c r="J33" s="2">
        <v>6.0</v>
      </c>
      <c r="K33" s="2">
        <v>4.0</v>
      </c>
      <c r="L33" s="2">
        <v>5.0</v>
      </c>
      <c r="M33" s="2"/>
      <c r="N33" s="2">
        <v>8.0</v>
      </c>
      <c r="O33" s="2">
        <v>5.0</v>
      </c>
      <c r="P33" s="2">
        <v>7.0</v>
      </c>
      <c r="Q33" s="13">
        <f t="shared" si="2"/>
        <v>42</v>
      </c>
      <c r="R33" s="116">
        <f t="shared" si="3"/>
        <v>0.2009569378</v>
      </c>
      <c r="V33" s="2">
        <v>3.0</v>
      </c>
      <c r="W33" s="2"/>
      <c r="X33" s="2">
        <v>4.0</v>
      </c>
      <c r="Y33" s="2">
        <v>4.0</v>
      </c>
      <c r="Z33" s="2">
        <v>5.0</v>
      </c>
      <c r="AA33" s="13">
        <f t="shared" si="4"/>
        <v>16</v>
      </c>
      <c r="AB33" s="13">
        <f t="shared" si="5"/>
        <v>26</v>
      </c>
      <c r="AC33" s="116">
        <f t="shared" si="6"/>
        <v>0.1244019139</v>
      </c>
    </row>
    <row r="34">
      <c r="A34" s="2" t="s">
        <v>23</v>
      </c>
      <c r="B34" s="2">
        <v>2127.0</v>
      </c>
      <c r="C34" s="2">
        <v>57.8</v>
      </c>
      <c r="D34" s="2">
        <v>16.7</v>
      </c>
      <c r="E34" s="2">
        <v>9.7</v>
      </c>
      <c r="F34" s="2">
        <v>14.1</v>
      </c>
      <c r="G34" s="2">
        <v>0.3</v>
      </c>
      <c r="H34" s="119">
        <f t="shared" si="1"/>
        <v>355.209</v>
      </c>
      <c r="I34" s="2">
        <v>7.0</v>
      </c>
      <c r="J34" s="2">
        <v>11.0</v>
      </c>
      <c r="K34" s="2">
        <v>15.0</v>
      </c>
      <c r="L34" s="2">
        <v>9.0</v>
      </c>
      <c r="M34" s="2">
        <v>5.0</v>
      </c>
      <c r="N34" s="2">
        <v>7.0</v>
      </c>
      <c r="O34" s="2">
        <v>9.0</v>
      </c>
      <c r="P34" s="2">
        <v>7.0</v>
      </c>
      <c r="Q34" s="13">
        <f t="shared" si="2"/>
        <v>70</v>
      </c>
      <c r="R34" s="116">
        <f t="shared" si="3"/>
        <v>0.1970670788</v>
      </c>
      <c r="S34" s="2">
        <v>4.0</v>
      </c>
      <c r="T34" s="2">
        <v>7.0</v>
      </c>
      <c r="U34" s="2">
        <v>11.0</v>
      </c>
      <c r="V34" s="2">
        <v>5.0</v>
      </c>
      <c r="W34" s="2">
        <v>5.0</v>
      </c>
      <c r="X34" s="2">
        <v>4.0</v>
      </c>
      <c r="Y34" s="2">
        <v>4.0</v>
      </c>
      <c r="AA34" s="13">
        <f t="shared" si="4"/>
        <v>40</v>
      </c>
      <c r="AB34" s="13">
        <f t="shared" si="5"/>
        <v>30</v>
      </c>
      <c r="AC34" s="116">
        <f t="shared" si="6"/>
        <v>0.08445731949</v>
      </c>
    </row>
    <row r="35">
      <c r="A35" s="115" t="s">
        <v>394</v>
      </c>
      <c r="B35" s="2">
        <v>390.0</v>
      </c>
      <c r="C35" s="2">
        <v>21.6</v>
      </c>
      <c r="D35" s="2">
        <v>19.0</v>
      </c>
      <c r="E35" s="2">
        <v>23.4</v>
      </c>
      <c r="G35" s="2">
        <v>12.7</v>
      </c>
      <c r="H35" s="119">
        <f t="shared" si="1"/>
        <v>74.1</v>
      </c>
      <c r="I35" s="2">
        <v>5.0</v>
      </c>
      <c r="K35" s="2">
        <v>3.0</v>
      </c>
      <c r="L35" s="2">
        <v>3.0</v>
      </c>
      <c r="N35" s="2">
        <v>3.0</v>
      </c>
      <c r="Q35" s="13">
        <f t="shared" si="2"/>
        <v>14</v>
      </c>
      <c r="R35" s="116">
        <f t="shared" si="3"/>
        <v>0.1889338731</v>
      </c>
      <c r="X35" s="2">
        <v>3.0</v>
      </c>
      <c r="AA35" s="13">
        <f t="shared" si="4"/>
        <v>3</v>
      </c>
      <c r="AB35" s="13">
        <f t="shared" si="5"/>
        <v>11</v>
      </c>
      <c r="AC35" s="116">
        <f t="shared" si="6"/>
        <v>0.1484480432</v>
      </c>
    </row>
    <row r="36">
      <c r="A36" s="2" t="s">
        <v>334</v>
      </c>
      <c r="B36" s="2">
        <v>1669.0</v>
      </c>
      <c r="C36" s="2">
        <v>18.6</v>
      </c>
      <c r="D36" s="2">
        <v>26.5</v>
      </c>
      <c r="E36" s="2">
        <v>45.1</v>
      </c>
      <c r="F36" s="2">
        <v>7.1</v>
      </c>
      <c r="G36" s="2">
        <v>0.8</v>
      </c>
      <c r="H36" s="119">
        <f t="shared" si="1"/>
        <v>442.285</v>
      </c>
      <c r="I36" s="2">
        <v>13.0</v>
      </c>
      <c r="J36" s="2">
        <v>18.0</v>
      </c>
      <c r="K36" s="2">
        <v>10.0</v>
      </c>
      <c r="L36" s="2">
        <v>13.0</v>
      </c>
      <c r="M36" s="2">
        <v>9.0</v>
      </c>
      <c r="N36" s="2">
        <v>7.0</v>
      </c>
      <c r="O36" s="2">
        <v>10.0</v>
      </c>
      <c r="P36" s="2">
        <v>3.0</v>
      </c>
      <c r="Q36" s="13">
        <f t="shared" si="2"/>
        <v>83</v>
      </c>
      <c r="R36" s="116">
        <f t="shared" si="3"/>
        <v>0.1876618018</v>
      </c>
      <c r="S36" s="2">
        <v>9.0</v>
      </c>
      <c r="T36" s="2">
        <v>15.0</v>
      </c>
      <c r="U36" s="2">
        <v>5.0</v>
      </c>
      <c r="V36" s="2">
        <v>9.0</v>
      </c>
      <c r="W36" s="2">
        <v>6.0</v>
      </c>
      <c r="X36" s="2">
        <v>3.0</v>
      </c>
      <c r="Y36" s="2">
        <v>5.0</v>
      </c>
      <c r="Z36" s="2">
        <v>0.0</v>
      </c>
      <c r="AA36" s="13">
        <f t="shared" si="4"/>
        <v>52</v>
      </c>
      <c r="AB36" s="13">
        <f t="shared" si="5"/>
        <v>31</v>
      </c>
      <c r="AC36" s="116">
        <f t="shared" si="6"/>
        <v>0.07009055247</v>
      </c>
    </row>
    <row r="37">
      <c r="A37" s="2" t="s">
        <v>395</v>
      </c>
      <c r="B37" s="2">
        <v>2470.0</v>
      </c>
      <c r="C37" s="2">
        <v>25.7</v>
      </c>
      <c r="D37" s="2">
        <v>5.9</v>
      </c>
      <c r="E37" s="2">
        <v>61.9</v>
      </c>
      <c r="H37" s="119">
        <f t="shared" si="1"/>
        <v>145.73</v>
      </c>
      <c r="I37" s="2">
        <v>6.0</v>
      </c>
      <c r="J37" s="2">
        <v>6.0</v>
      </c>
      <c r="K37" s="2">
        <v>4.0</v>
      </c>
      <c r="N37" s="2">
        <v>4.0</v>
      </c>
      <c r="O37" s="2">
        <v>3.0</v>
      </c>
      <c r="P37" s="2">
        <v>4.0</v>
      </c>
      <c r="Q37" s="13">
        <f t="shared" si="2"/>
        <v>27</v>
      </c>
      <c r="R37" s="116">
        <f t="shared" si="3"/>
        <v>0.1852741371</v>
      </c>
      <c r="S37" s="2">
        <v>4.0</v>
      </c>
      <c r="T37" s="2">
        <v>3.0</v>
      </c>
      <c r="U37" s="2">
        <v>3.0</v>
      </c>
      <c r="Z37" s="2">
        <v>3.0</v>
      </c>
      <c r="AA37" s="13">
        <f t="shared" si="4"/>
        <v>13</v>
      </c>
      <c r="AB37" s="13">
        <f t="shared" si="5"/>
        <v>14</v>
      </c>
      <c r="AC37" s="116">
        <f t="shared" si="6"/>
        <v>0.09606807109</v>
      </c>
    </row>
    <row r="38">
      <c r="A38" s="2" t="s">
        <v>331</v>
      </c>
      <c r="B38" s="2">
        <v>1530.0</v>
      </c>
      <c r="C38" s="2">
        <v>44.4</v>
      </c>
      <c r="D38" s="2">
        <v>23.5</v>
      </c>
      <c r="E38" s="2">
        <v>21.3</v>
      </c>
      <c r="F38" s="2">
        <v>9.7</v>
      </c>
      <c r="G38" s="2">
        <v>0.7</v>
      </c>
      <c r="H38" s="119">
        <f t="shared" si="1"/>
        <v>359.55</v>
      </c>
      <c r="I38" s="2">
        <v>9.0</v>
      </c>
      <c r="J38" s="2">
        <v>6.0</v>
      </c>
      <c r="K38" s="2">
        <v>8.0</v>
      </c>
      <c r="L38" s="2">
        <v>9.0</v>
      </c>
      <c r="M38" s="2">
        <v>7.0</v>
      </c>
      <c r="N38" s="2">
        <v>8.0</v>
      </c>
      <c r="O38" s="2">
        <v>12.0</v>
      </c>
      <c r="P38" s="2">
        <v>7.0</v>
      </c>
      <c r="Q38" s="13">
        <f t="shared" si="2"/>
        <v>66</v>
      </c>
      <c r="R38" s="116">
        <f t="shared" si="3"/>
        <v>0.1835627868</v>
      </c>
      <c r="S38" s="2">
        <v>7.0</v>
      </c>
      <c r="T38" s="2">
        <v>3.0</v>
      </c>
      <c r="U38" s="2">
        <v>5.0</v>
      </c>
      <c r="V38" s="2">
        <v>7.0</v>
      </c>
      <c r="X38" s="2">
        <v>3.0</v>
      </c>
      <c r="Y38" s="2">
        <v>8.0</v>
      </c>
      <c r="AA38" s="13">
        <f t="shared" si="4"/>
        <v>33</v>
      </c>
      <c r="AB38" s="13">
        <f t="shared" si="5"/>
        <v>33</v>
      </c>
      <c r="AC38" s="116">
        <f t="shared" si="6"/>
        <v>0.09178139341</v>
      </c>
    </row>
    <row r="39">
      <c r="A39" s="2" t="s">
        <v>326</v>
      </c>
      <c r="B39" s="2">
        <v>2316.0</v>
      </c>
      <c r="C39" s="2">
        <v>37.7</v>
      </c>
      <c r="D39" s="2">
        <v>26.2</v>
      </c>
      <c r="E39" s="2">
        <v>23.0</v>
      </c>
      <c r="F39" s="2">
        <v>10.4</v>
      </c>
      <c r="G39" s="2">
        <v>1.6</v>
      </c>
      <c r="H39" s="119">
        <f t="shared" si="1"/>
        <v>606.792</v>
      </c>
      <c r="I39" s="2">
        <v>12.0</v>
      </c>
      <c r="J39" s="2">
        <v>20.0</v>
      </c>
      <c r="K39" s="2">
        <v>10.0</v>
      </c>
      <c r="L39" s="2">
        <v>13.0</v>
      </c>
      <c r="M39" s="2">
        <v>13.0</v>
      </c>
      <c r="N39" s="2">
        <v>15.0</v>
      </c>
      <c r="O39" s="2">
        <v>12.0</v>
      </c>
      <c r="P39" s="2">
        <v>16.0</v>
      </c>
      <c r="Q39" s="13">
        <f t="shared" si="2"/>
        <v>111</v>
      </c>
      <c r="R39" s="116">
        <f t="shared" si="3"/>
        <v>0.182929241</v>
      </c>
      <c r="S39" s="2">
        <v>5.0</v>
      </c>
      <c r="T39" s="2">
        <v>13.0</v>
      </c>
      <c r="U39" s="2">
        <v>5.0</v>
      </c>
      <c r="V39" s="2">
        <v>8.0</v>
      </c>
      <c r="W39" s="2">
        <v>7.0</v>
      </c>
      <c r="X39" s="2">
        <v>3.0</v>
      </c>
      <c r="Y39" s="2">
        <v>6.0</v>
      </c>
      <c r="Z39" s="2">
        <v>5.0</v>
      </c>
      <c r="AA39" s="13">
        <f t="shared" si="4"/>
        <v>52</v>
      </c>
      <c r="AB39" s="13">
        <f t="shared" si="5"/>
        <v>59</v>
      </c>
      <c r="AC39" s="116">
        <f t="shared" si="6"/>
        <v>0.09723265963</v>
      </c>
    </row>
    <row r="40">
      <c r="A40" s="2" t="s">
        <v>336</v>
      </c>
      <c r="B40" s="2">
        <v>1274.0</v>
      </c>
      <c r="C40" s="2">
        <v>68.6</v>
      </c>
      <c r="D40" s="2">
        <v>11.2</v>
      </c>
      <c r="E40" s="2">
        <v>9.3</v>
      </c>
      <c r="F40" s="2">
        <v>9.7</v>
      </c>
      <c r="H40" s="119">
        <f t="shared" si="1"/>
        <v>142.688</v>
      </c>
      <c r="I40" s="2">
        <v>7.0</v>
      </c>
      <c r="K40" s="2">
        <v>4.0</v>
      </c>
      <c r="M40" s="2">
        <v>3.0</v>
      </c>
      <c r="N40" s="2">
        <v>5.0</v>
      </c>
      <c r="O40" s="2">
        <v>7.0</v>
      </c>
      <c r="Q40" s="13">
        <f t="shared" si="2"/>
        <v>26</v>
      </c>
      <c r="R40" s="116">
        <f t="shared" si="3"/>
        <v>0.1822157434</v>
      </c>
      <c r="S40" s="2">
        <v>5.0</v>
      </c>
      <c r="X40" s="2">
        <v>5.0</v>
      </c>
      <c r="Y40" s="2">
        <v>5.0</v>
      </c>
      <c r="AA40" s="13">
        <f t="shared" si="4"/>
        <v>15</v>
      </c>
      <c r="AB40" s="13">
        <f t="shared" si="5"/>
        <v>11</v>
      </c>
      <c r="AC40" s="116">
        <f t="shared" si="6"/>
        <v>0.07709127607</v>
      </c>
    </row>
    <row r="41">
      <c r="A41" s="2" t="s">
        <v>15</v>
      </c>
      <c r="B41" s="2">
        <v>1781.0</v>
      </c>
      <c r="C41" s="2">
        <v>7.2</v>
      </c>
      <c r="D41" s="2">
        <v>80.1</v>
      </c>
      <c r="E41" s="2">
        <v>3.0</v>
      </c>
      <c r="F41" s="2">
        <v>8.8</v>
      </c>
      <c r="G41" s="2">
        <v>0.4</v>
      </c>
      <c r="H41" s="119">
        <f t="shared" si="1"/>
        <v>1426.581</v>
      </c>
      <c r="I41" s="2">
        <v>34.0</v>
      </c>
      <c r="J41" s="2">
        <v>19.0</v>
      </c>
      <c r="K41" s="2">
        <v>22.0</v>
      </c>
      <c r="L41" s="2">
        <v>47.0</v>
      </c>
      <c r="M41" s="2">
        <v>32.0</v>
      </c>
      <c r="N41" s="2">
        <v>24.0</v>
      </c>
      <c r="O41" s="2">
        <v>36.0</v>
      </c>
      <c r="P41" s="2">
        <v>39.0</v>
      </c>
      <c r="Q41" s="13">
        <f t="shared" si="2"/>
        <v>253</v>
      </c>
      <c r="R41" s="116">
        <f t="shared" si="3"/>
        <v>0.1773470977</v>
      </c>
      <c r="S41" s="2">
        <v>23.0</v>
      </c>
      <c r="T41" s="2">
        <v>14.0</v>
      </c>
      <c r="V41" s="2">
        <v>31.0</v>
      </c>
      <c r="W41" s="2">
        <v>12.0</v>
      </c>
      <c r="X41" s="2">
        <v>13.0</v>
      </c>
      <c r="Y41" s="2">
        <v>20.0</v>
      </c>
      <c r="Z41" s="2">
        <v>12.0</v>
      </c>
      <c r="AA41" s="13">
        <f t="shared" si="4"/>
        <v>125</v>
      </c>
      <c r="AB41" s="13">
        <f t="shared" si="5"/>
        <v>128</v>
      </c>
      <c r="AC41" s="116">
        <f t="shared" si="6"/>
        <v>0.08972501386</v>
      </c>
    </row>
    <row r="42">
      <c r="A42" s="2" t="s">
        <v>337</v>
      </c>
      <c r="B42" s="2">
        <v>2305.0</v>
      </c>
      <c r="C42" s="2">
        <v>50.1</v>
      </c>
      <c r="D42" s="2">
        <v>29.9</v>
      </c>
      <c r="E42" s="2">
        <v>9.0</v>
      </c>
      <c r="F42" s="2">
        <v>9.8</v>
      </c>
      <c r="H42" s="119">
        <f t="shared" si="1"/>
        <v>689.195</v>
      </c>
      <c r="I42" s="2">
        <v>15.0</v>
      </c>
      <c r="J42" s="2">
        <v>17.0</v>
      </c>
      <c r="K42" s="2">
        <v>18.0</v>
      </c>
      <c r="L42" s="2">
        <v>15.0</v>
      </c>
      <c r="M42" s="2">
        <v>15.0</v>
      </c>
      <c r="N42" s="2">
        <v>11.0</v>
      </c>
      <c r="O42" s="2">
        <v>17.0</v>
      </c>
      <c r="P42" s="2">
        <v>14.0</v>
      </c>
      <c r="Q42" s="13">
        <f t="shared" si="2"/>
        <v>122</v>
      </c>
      <c r="R42" s="116">
        <f t="shared" si="3"/>
        <v>0.1770181153</v>
      </c>
      <c r="S42" s="2">
        <v>12.0</v>
      </c>
      <c r="T42" s="2">
        <v>13.0</v>
      </c>
      <c r="U42" s="2">
        <v>6.0</v>
      </c>
      <c r="V42" s="2">
        <v>11.0</v>
      </c>
      <c r="W42" s="2">
        <v>9.0</v>
      </c>
      <c r="X42" s="2">
        <v>4.0</v>
      </c>
      <c r="Y42" s="2">
        <v>8.0</v>
      </c>
      <c r="Z42" s="2">
        <v>7.0</v>
      </c>
      <c r="AA42" s="13">
        <f t="shared" si="4"/>
        <v>70</v>
      </c>
      <c r="AB42" s="13">
        <f t="shared" si="5"/>
        <v>52</v>
      </c>
      <c r="AC42" s="116">
        <f t="shared" si="6"/>
        <v>0.07545034424</v>
      </c>
    </row>
    <row r="43">
      <c r="A43" s="2" t="s">
        <v>21</v>
      </c>
      <c r="B43" s="2">
        <v>1676.0</v>
      </c>
      <c r="C43" s="2">
        <v>32.3</v>
      </c>
      <c r="D43" s="2">
        <v>48.4</v>
      </c>
      <c r="E43" s="2">
        <v>9.8</v>
      </c>
      <c r="F43" s="2">
        <v>8.4</v>
      </c>
      <c r="G43" s="2">
        <v>0.8</v>
      </c>
      <c r="H43" s="119">
        <f t="shared" si="1"/>
        <v>811.184</v>
      </c>
      <c r="I43" s="2">
        <v>28.0</v>
      </c>
      <c r="J43" s="2">
        <v>16.0</v>
      </c>
      <c r="K43" s="2">
        <v>20.0</v>
      </c>
      <c r="L43" s="2">
        <v>26.0</v>
      </c>
      <c r="M43" s="2">
        <v>10.0</v>
      </c>
      <c r="N43" s="2">
        <v>9.0</v>
      </c>
      <c r="O43" s="2">
        <v>17.0</v>
      </c>
      <c r="P43" s="2">
        <v>15.0</v>
      </c>
      <c r="Q43" s="13">
        <f t="shared" si="2"/>
        <v>141</v>
      </c>
      <c r="R43" s="116">
        <f t="shared" si="3"/>
        <v>0.1738199964</v>
      </c>
      <c r="S43" s="2">
        <v>17.0</v>
      </c>
      <c r="T43" s="2">
        <v>10.0</v>
      </c>
      <c r="U43" s="2">
        <v>15.0</v>
      </c>
      <c r="V43" s="2">
        <v>20.0</v>
      </c>
      <c r="W43" s="2">
        <v>3.0</v>
      </c>
      <c r="X43" s="2">
        <v>5.0</v>
      </c>
      <c r="Y43" s="2">
        <v>9.0</v>
      </c>
      <c r="Z43" s="2">
        <v>5.0</v>
      </c>
      <c r="AA43" s="13">
        <f t="shared" si="4"/>
        <v>84</v>
      </c>
      <c r="AB43" s="13">
        <f t="shared" si="5"/>
        <v>57</v>
      </c>
      <c r="AC43" s="116">
        <f t="shared" si="6"/>
        <v>0.07026765814</v>
      </c>
    </row>
    <row r="44">
      <c r="A44" s="2" t="s">
        <v>318</v>
      </c>
      <c r="B44" s="2">
        <v>2321.0</v>
      </c>
      <c r="C44" s="2">
        <v>25.6</v>
      </c>
      <c r="D44" s="2">
        <v>43.6</v>
      </c>
      <c r="E44" s="2">
        <v>17.8</v>
      </c>
      <c r="F44" s="2">
        <v>11.5</v>
      </c>
      <c r="G44" s="2">
        <v>0.9</v>
      </c>
      <c r="H44" s="119">
        <f t="shared" si="1"/>
        <v>1011.956</v>
      </c>
      <c r="I44" s="2">
        <v>32.0</v>
      </c>
      <c r="J44" s="2">
        <v>26.0</v>
      </c>
      <c r="K44" s="2">
        <v>16.0</v>
      </c>
      <c r="L44" s="2">
        <v>29.0</v>
      </c>
      <c r="M44" s="2">
        <v>17.0</v>
      </c>
      <c r="N44" s="2">
        <v>19.0</v>
      </c>
      <c r="O44" s="2">
        <v>16.0</v>
      </c>
      <c r="P44" s="2">
        <v>17.0</v>
      </c>
      <c r="Q44" s="13">
        <f t="shared" si="2"/>
        <v>172</v>
      </c>
      <c r="R44" s="116">
        <f t="shared" si="3"/>
        <v>0.1699678642</v>
      </c>
      <c r="S44" s="2">
        <v>20.0</v>
      </c>
      <c r="T44" s="2">
        <v>15.0</v>
      </c>
      <c r="U44" s="2">
        <v>10.0</v>
      </c>
      <c r="V44" s="2">
        <v>21.0</v>
      </c>
      <c r="W44" s="2">
        <v>7.0</v>
      </c>
      <c r="X44" s="2">
        <v>6.0</v>
      </c>
      <c r="Y44" s="2">
        <v>10.0</v>
      </c>
      <c r="Z44" s="2">
        <v>10.0</v>
      </c>
      <c r="AA44" s="13">
        <f t="shared" si="4"/>
        <v>99</v>
      </c>
      <c r="AB44" s="13">
        <f t="shared" si="5"/>
        <v>73</v>
      </c>
      <c r="AC44" s="116">
        <f t="shared" si="6"/>
        <v>0.07213752377</v>
      </c>
    </row>
    <row r="45">
      <c r="A45" s="2" t="s">
        <v>328</v>
      </c>
      <c r="B45" s="2">
        <v>2302.0</v>
      </c>
      <c r="C45" s="2">
        <v>48.2</v>
      </c>
      <c r="D45" s="2">
        <v>30.3</v>
      </c>
      <c r="E45" s="2">
        <v>13.8</v>
      </c>
      <c r="F45" s="2">
        <v>5.3</v>
      </c>
      <c r="G45" s="2">
        <v>1.1</v>
      </c>
      <c r="H45" s="119">
        <f t="shared" si="1"/>
        <v>697.506</v>
      </c>
      <c r="I45" s="2">
        <v>16.0</v>
      </c>
      <c r="J45" s="2">
        <v>20.0</v>
      </c>
      <c r="K45" s="2">
        <v>16.0</v>
      </c>
      <c r="L45" s="2">
        <v>25.0</v>
      </c>
      <c r="M45" s="2">
        <v>7.0</v>
      </c>
      <c r="N45" s="2">
        <v>8.0</v>
      </c>
      <c r="O45" s="2">
        <v>11.0</v>
      </c>
      <c r="P45" s="2">
        <v>15.0</v>
      </c>
      <c r="Q45" s="13">
        <f t="shared" si="2"/>
        <v>118</v>
      </c>
      <c r="R45" s="116">
        <f t="shared" si="3"/>
        <v>0.169174172</v>
      </c>
      <c r="S45" s="2">
        <v>11.0</v>
      </c>
      <c r="T45" s="2">
        <v>13.0</v>
      </c>
      <c r="U45" s="2">
        <v>10.0</v>
      </c>
      <c r="V45" s="2">
        <v>17.0</v>
      </c>
      <c r="W45" s="2">
        <v>4.0</v>
      </c>
      <c r="X45" s="2">
        <v>5.0</v>
      </c>
      <c r="Y45" s="2">
        <v>5.0</v>
      </c>
      <c r="Z45" s="2">
        <v>5.0</v>
      </c>
      <c r="AA45" s="13">
        <f t="shared" si="4"/>
        <v>70</v>
      </c>
      <c r="AB45" s="13">
        <f t="shared" si="5"/>
        <v>48</v>
      </c>
      <c r="AC45" s="116">
        <f t="shared" si="6"/>
        <v>0.06881661233</v>
      </c>
    </row>
    <row r="46">
      <c r="A46" s="115" t="s">
        <v>219</v>
      </c>
      <c r="B46" s="2">
        <v>537.0</v>
      </c>
      <c r="C46" s="2">
        <v>33.1</v>
      </c>
      <c r="D46" s="2">
        <v>26.8</v>
      </c>
      <c r="G46" s="2">
        <v>6.0</v>
      </c>
      <c r="H46" s="119">
        <f t="shared" si="1"/>
        <v>143.916</v>
      </c>
      <c r="I46" s="2">
        <v>5.0</v>
      </c>
      <c r="J46" s="2">
        <v>3.0</v>
      </c>
      <c r="M46" s="2">
        <v>3.0</v>
      </c>
      <c r="N46" s="2">
        <v>7.0</v>
      </c>
      <c r="O46" s="2">
        <v>6.0</v>
      </c>
      <c r="Q46" s="13">
        <f t="shared" si="2"/>
        <v>24</v>
      </c>
      <c r="R46" s="116">
        <f t="shared" si="3"/>
        <v>0.1667639456</v>
      </c>
      <c r="S46" s="2">
        <v>4.0</v>
      </c>
      <c r="AA46" s="13">
        <f t="shared" si="4"/>
        <v>4</v>
      </c>
      <c r="AB46" s="13">
        <f t="shared" si="5"/>
        <v>20</v>
      </c>
      <c r="AC46" s="116">
        <f t="shared" si="6"/>
        <v>0.1389699547</v>
      </c>
    </row>
    <row r="47">
      <c r="A47" s="2" t="s">
        <v>27</v>
      </c>
      <c r="B47" s="2">
        <v>1767.0</v>
      </c>
      <c r="C47" s="2">
        <v>46.1</v>
      </c>
      <c r="D47" s="2">
        <v>26.2</v>
      </c>
      <c r="E47" s="2">
        <v>16.2</v>
      </c>
      <c r="F47" s="2">
        <v>10.4</v>
      </c>
      <c r="G47" s="2">
        <v>0.6</v>
      </c>
      <c r="H47" s="119">
        <f t="shared" si="1"/>
        <v>462.954</v>
      </c>
      <c r="I47" s="2">
        <v>9.0</v>
      </c>
      <c r="J47" s="2">
        <v>8.0</v>
      </c>
      <c r="K47" s="2">
        <v>12.0</v>
      </c>
      <c r="L47" s="2">
        <v>9.0</v>
      </c>
      <c r="M47" s="2">
        <v>5.0</v>
      </c>
      <c r="N47" s="2">
        <v>13.0</v>
      </c>
      <c r="O47" s="2">
        <v>10.0</v>
      </c>
      <c r="P47" s="2">
        <v>7.0</v>
      </c>
      <c r="Q47" s="13">
        <f t="shared" si="2"/>
        <v>73</v>
      </c>
      <c r="R47" s="116">
        <f t="shared" si="3"/>
        <v>0.1576830527</v>
      </c>
      <c r="S47" s="2">
        <v>4.0</v>
      </c>
      <c r="T47" s="2">
        <v>7.0</v>
      </c>
      <c r="U47" s="2">
        <v>8.0</v>
      </c>
      <c r="V47" s="2">
        <v>3.0</v>
      </c>
      <c r="W47" s="2">
        <v>3.0</v>
      </c>
      <c r="X47" s="2">
        <v>3.0</v>
      </c>
      <c r="Y47" s="2">
        <v>5.0</v>
      </c>
      <c r="Z47" s="2">
        <v>3.0</v>
      </c>
      <c r="AA47" s="13">
        <f t="shared" si="4"/>
        <v>36</v>
      </c>
      <c r="AB47" s="13">
        <f t="shared" si="5"/>
        <v>37</v>
      </c>
      <c r="AC47" s="116">
        <f t="shared" si="6"/>
        <v>0.07992154728</v>
      </c>
    </row>
    <row r="48">
      <c r="A48" s="2" t="s">
        <v>18</v>
      </c>
      <c r="B48" s="2">
        <v>3340.0</v>
      </c>
      <c r="C48" s="2">
        <v>9.2</v>
      </c>
      <c r="D48" s="2">
        <v>78.6</v>
      </c>
      <c r="E48" s="2">
        <v>4.1</v>
      </c>
      <c r="F48" s="2">
        <v>4.9</v>
      </c>
      <c r="G48" s="2">
        <v>2.9</v>
      </c>
      <c r="H48" s="119">
        <f t="shared" si="1"/>
        <v>2625.24</v>
      </c>
      <c r="I48" s="2">
        <v>59.0</v>
      </c>
      <c r="J48" s="2">
        <v>56.0</v>
      </c>
      <c r="K48" s="2">
        <v>65.0</v>
      </c>
      <c r="L48" s="2">
        <v>78.0</v>
      </c>
      <c r="M48" s="2">
        <v>38.0</v>
      </c>
      <c r="N48" s="2">
        <v>27.0</v>
      </c>
      <c r="O48" s="2">
        <v>48.0</v>
      </c>
      <c r="P48" s="2">
        <v>39.0</v>
      </c>
      <c r="Q48" s="13">
        <f t="shared" si="2"/>
        <v>410</v>
      </c>
      <c r="R48" s="116">
        <f t="shared" si="3"/>
        <v>0.1561761972</v>
      </c>
      <c r="S48" s="2">
        <v>32.0</v>
      </c>
      <c r="T48" s="2">
        <v>35.0</v>
      </c>
      <c r="U48" s="2">
        <v>31.0</v>
      </c>
      <c r="V48" s="2">
        <v>49.0</v>
      </c>
      <c r="W48" s="2">
        <v>15.0</v>
      </c>
      <c r="Y48" s="2">
        <v>19.0</v>
      </c>
      <c r="Z48" s="2">
        <v>10.0</v>
      </c>
      <c r="AA48" s="13">
        <f t="shared" si="4"/>
        <v>191</v>
      </c>
      <c r="AB48" s="13">
        <f t="shared" si="5"/>
        <v>219</v>
      </c>
      <c r="AC48" s="116">
        <f t="shared" si="6"/>
        <v>0.08342094437</v>
      </c>
    </row>
    <row r="49">
      <c r="A49" s="2" t="s">
        <v>26</v>
      </c>
      <c r="B49" s="2">
        <v>1496.0</v>
      </c>
      <c r="C49" s="2">
        <v>48.3</v>
      </c>
      <c r="D49" s="2">
        <v>19.1</v>
      </c>
      <c r="E49" s="2">
        <v>15.4</v>
      </c>
      <c r="F49" s="2">
        <v>15.0</v>
      </c>
      <c r="G49" s="2">
        <v>1.3</v>
      </c>
      <c r="H49" s="119">
        <f t="shared" si="1"/>
        <v>285.736</v>
      </c>
      <c r="I49" s="2">
        <v>4.0</v>
      </c>
      <c r="J49" s="2">
        <v>7.0</v>
      </c>
      <c r="K49" s="2">
        <v>8.0</v>
      </c>
      <c r="L49" s="2">
        <v>7.0</v>
      </c>
      <c r="M49" s="2">
        <v>5.0</v>
      </c>
      <c r="N49" s="2">
        <v>5.0</v>
      </c>
      <c r="O49" s="2">
        <v>5.0</v>
      </c>
      <c r="P49" s="2">
        <v>3.0</v>
      </c>
      <c r="Q49" s="13">
        <f t="shared" si="2"/>
        <v>44</v>
      </c>
      <c r="R49" s="116">
        <f t="shared" si="3"/>
        <v>0.1539882969</v>
      </c>
      <c r="S49" s="2">
        <v>3.0</v>
      </c>
      <c r="U49" s="2">
        <v>3.0</v>
      </c>
      <c r="V49" s="2">
        <v>6.0</v>
      </c>
      <c r="W49" s="2">
        <v>4.0</v>
      </c>
      <c r="X49" s="2">
        <v>3.0</v>
      </c>
      <c r="Y49" s="2">
        <v>3.0</v>
      </c>
      <c r="AA49" s="13">
        <f t="shared" si="4"/>
        <v>22</v>
      </c>
      <c r="AB49" s="13">
        <f t="shared" si="5"/>
        <v>22</v>
      </c>
      <c r="AC49" s="116">
        <f t="shared" si="6"/>
        <v>0.07699414844</v>
      </c>
    </row>
    <row r="50">
      <c r="A50" s="2" t="s">
        <v>25</v>
      </c>
      <c r="B50" s="2">
        <v>3168.0</v>
      </c>
      <c r="C50" s="2">
        <v>20.0</v>
      </c>
      <c r="D50" s="2">
        <v>57.0</v>
      </c>
      <c r="E50" s="2">
        <v>11.0</v>
      </c>
      <c r="F50" s="2">
        <v>8.0</v>
      </c>
      <c r="G50" s="2">
        <v>4.0</v>
      </c>
      <c r="H50" s="119">
        <f t="shared" si="1"/>
        <v>1805.76</v>
      </c>
      <c r="I50" s="2">
        <v>35.0</v>
      </c>
      <c r="J50" s="2">
        <v>33.0</v>
      </c>
      <c r="K50" s="2">
        <v>32.0</v>
      </c>
      <c r="L50" s="2">
        <v>29.0</v>
      </c>
      <c r="M50" s="2">
        <v>27.0</v>
      </c>
      <c r="N50" s="2">
        <v>16.0</v>
      </c>
      <c r="O50" s="2">
        <v>29.0</v>
      </c>
      <c r="P50" s="2">
        <v>20.0</v>
      </c>
      <c r="Q50" s="13">
        <f t="shared" si="2"/>
        <v>221</v>
      </c>
      <c r="R50" s="116">
        <f t="shared" si="3"/>
        <v>0.1223861421</v>
      </c>
      <c r="S50" s="2">
        <v>21.0</v>
      </c>
      <c r="T50" s="2">
        <v>25.0</v>
      </c>
      <c r="U50" s="2">
        <v>20.0</v>
      </c>
      <c r="V50" s="2">
        <v>18.0</v>
      </c>
      <c r="W50" s="2">
        <v>17.0</v>
      </c>
      <c r="X50" s="2">
        <v>7.0</v>
      </c>
      <c r="Y50" s="2">
        <v>15.0</v>
      </c>
      <c r="Z50" s="2">
        <v>7.0</v>
      </c>
      <c r="AA50" s="13">
        <f t="shared" si="4"/>
        <v>130</v>
      </c>
      <c r="AB50" s="13">
        <f t="shared" si="5"/>
        <v>91</v>
      </c>
      <c r="AC50" s="116">
        <f t="shared" si="6"/>
        <v>0.05039429382</v>
      </c>
    </row>
    <row r="51">
      <c r="A51" s="2" t="s">
        <v>321</v>
      </c>
      <c r="B51" s="2">
        <v>2699.0</v>
      </c>
      <c r="C51" s="2">
        <v>36.6</v>
      </c>
      <c r="D51" s="2">
        <v>46.6</v>
      </c>
      <c r="E51" s="2">
        <v>10.2</v>
      </c>
      <c r="F51" s="2">
        <v>5.4</v>
      </c>
      <c r="G51" s="2">
        <v>0.9</v>
      </c>
      <c r="H51" s="119">
        <f t="shared" si="1"/>
        <v>1257.734</v>
      </c>
      <c r="I51" s="2">
        <v>28.0</v>
      </c>
      <c r="J51" s="2">
        <v>21.0</v>
      </c>
      <c r="K51" s="2">
        <v>27.0</v>
      </c>
      <c r="L51" s="2">
        <v>42.0</v>
      </c>
      <c r="M51" s="2">
        <v>16.0</v>
      </c>
      <c r="N51" s="2">
        <v>23.0</v>
      </c>
      <c r="O51" s="2">
        <v>14.0</v>
      </c>
      <c r="P51" s="2">
        <v>21.0</v>
      </c>
      <c r="Q51" s="13">
        <f t="shared" si="2"/>
        <v>192</v>
      </c>
      <c r="R51" s="116">
        <f t="shared" si="3"/>
        <v>0.15265549</v>
      </c>
      <c r="S51" s="2">
        <v>19.0</v>
      </c>
      <c r="T51" s="2">
        <v>12.0</v>
      </c>
      <c r="U51" s="2">
        <v>18.0</v>
      </c>
      <c r="V51" s="2">
        <v>24.0</v>
      </c>
      <c r="W51" s="2">
        <v>8.0</v>
      </c>
      <c r="X51" s="2">
        <v>15.0</v>
      </c>
      <c r="Y51" s="2">
        <v>5.0</v>
      </c>
      <c r="Z51" s="2">
        <v>9.0</v>
      </c>
      <c r="AA51" s="13">
        <f t="shared" si="4"/>
        <v>110</v>
      </c>
      <c r="AB51" s="13">
        <f t="shared" si="5"/>
        <v>82</v>
      </c>
      <c r="AC51" s="116">
        <f t="shared" si="6"/>
        <v>0.0651966155</v>
      </c>
    </row>
    <row r="52">
      <c r="A52" s="115" t="s">
        <v>396</v>
      </c>
      <c r="B52" s="2">
        <v>293.0</v>
      </c>
      <c r="C52" s="2">
        <v>7.8</v>
      </c>
      <c r="D52" s="2">
        <v>15.7</v>
      </c>
      <c r="E52" s="2">
        <v>75.1</v>
      </c>
      <c r="H52" s="119">
        <f t="shared" si="1"/>
        <v>46.001</v>
      </c>
      <c r="O52" s="2">
        <v>7.0</v>
      </c>
      <c r="Q52" s="13">
        <f t="shared" si="2"/>
        <v>7</v>
      </c>
      <c r="R52" s="116">
        <f t="shared" si="3"/>
        <v>0.152170605</v>
      </c>
      <c r="Y52" s="2">
        <v>4.0</v>
      </c>
      <c r="AA52" s="13">
        <f t="shared" si="4"/>
        <v>4</v>
      </c>
      <c r="AB52" s="13">
        <f t="shared" si="5"/>
        <v>3</v>
      </c>
      <c r="AC52" s="116">
        <f t="shared" si="6"/>
        <v>0.06521597357</v>
      </c>
    </row>
    <row r="53">
      <c r="A53" s="2" t="s">
        <v>315</v>
      </c>
      <c r="B53" s="2">
        <v>1971.0</v>
      </c>
      <c r="C53" s="2">
        <v>4.5</v>
      </c>
      <c r="D53" s="2">
        <v>89.8</v>
      </c>
      <c r="E53" s="2">
        <v>3.2</v>
      </c>
      <c r="F53" s="2">
        <v>2.1</v>
      </c>
      <c r="G53" s="2">
        <v>0.3</v>
      </c>
      <c r="H53" s="119">
        <f t="shared" si="1"/>
        <v>1769.958</v>
      </c>
      <c r="I53" s="2">
        <v>33.0</v>
      </c>
      <c r="J53" s="2">
        <v>32.0</v>
      </c>
      <c r="K53" s="2">
        <v>38.0</v>
      </c>
      <c r="L53" s="2">
        <v>58.0</v>
      </c>
      <c r="M53" s="2">
        <v>23.0</v>
      </c>
      <c r="N53" s="2">
        <v>24.0</v>
      </c>
      <c r="O53" s="2">
        <v>22.0</v>
      </c>
      <c r="P53" s="2">
        <v>34.0</v>
      </c>
      <c r="Q53" s="13">
        <f t="shared" si="2"/>
        <v>264</v>
      </c>
      <c r="R53" s="116">
        <f t="shared" si="3"/>
        <v>0.1491560817</v>
      </c>
      <c r="S53" s="2">
        <v>23.0</v>
      </c>
      <c r="U53" s="2">
        <v>25.0</v>
      </c>
      <c r="V53" s="2">
        <v>37.0</v>
      </c>
      <c r="W53" s="2">
        <v>13.0</v>
      </c>
      <c r="X53" s="2">
        <v>10.0</v>
      </c>
      <c r="Y53" s="2">
        <v>8.0</v>
      </c>
      <c r="Z53" s="2">
        <v>10.0</v>
      </c>
      <c r="AA53" s="13">
        <f t="shared" si="4"/>
        <v>126</v>
      </c>
      <c r="AB53" s="13">
        <f t="shared" si="5"/>
        <v>138</v>
      </c>
      <c r="AC53" s="116">
        <f t="shared" si="6"/>
        <v>0.07796795178</v>
      </c>
    </row>
    <row r="54">
      <c r="A54" s="2" t="s">
        <v>319</v>
      </c>
      <c r="B54" s="2">
        <v>2108.0</v>
      </c>
      <c r="C54" s="2">
        <v>9.8</v>
      </c>
      <c r="D54" s="2">
        <v>71.4</v>
      </c>
      <c r="E54" s="2">
        <v>9.8</v>
      </c>
      <c r="F54" s="2">
        <v>7.6</v>
      </c>
      <c r="G54" s="2">
        <v>1.0</v>
      </c>
      <c r="H54" s="119">
        <f t="shared" si="1"/>
        <v>1505.112</v>
      </c>
      <c r="I54" s="2">
        <v>29.0</v>
      </c>
      <c r="J54" s="2">
        <v>29.0</v>
      </c>
      <c r="K54" s="2">
        <v>27.0</v>
      </c>
      <c r="L54" s="2">
        <v>30.0</v>
      </c>
      <c r="M54" s="2">
        <v>24.0</v>
      </c>
      <c r="N54" s="2">
        <v>35.0</v>
      </c>
      <c r="O54" s="2">
        <v>16.0</v>
      </c>
      <c r="P54" s="2">
        <v>29.0</v>
      </c>
      <c r="Q54" s="13">
        <f t="shared" si="2"/>
        <v>219</v>
      </c>
      <c r="R54" s="116">
        <f t="shared" si="3"/>
        <v>0.145504122</v>
      </c>
      <c r="S54" s="2">
        <v>20.0</v>
      </c>
      <c r="T54" s="2">
        <v>17.0</v>
      </c>
      <c r="U54" s="2">
        <v>13.0</v>
      </c>
      <c r="V54" s="2">
        <v>22.0</v>
      </c>
      <c r="W54" s="2">
        <v>17.0</v>
      </c>
      <c r="X54" s="2">
        <v>7.0</v>
      </c>
      <c r="Y54" s="2">
        <v>17.0</v>
      </c>
      <c r="Z54" s="2">
        <v>8.0</v>
      </c>
      <c r="AA54" s="13">
        <f t="shared" si="4"/>
        <v>121</v>
      </c>
      <c r="AB54" s="13">
        <f t="shared" si="5"/>
        <v>98</v>
      </c>
      <c r="AC54" s="116">
        <f t="shared" si="6"/>
        <v>0.06511143357</v>
      </c>
    </row>
    <row r="55">
      <c r="A55" s="2" t="s">
        <v>397</v>
      </c>
      <c r="B55" s="2">
        <v>1200.0</v>
      </c>
      <c r="C55" s="2">
        <v>38.7</v>
      </c>
      <c r="D55" s="2">
        <v>6.3</v>
      </c>
      <c r="E55" s="2">
        <v>47.5</v>
      </c>
      <c r="H55" s="119">
        <f t="shared" si="1"/>
        <v>75.6</v>
      </c>
      <c r="I55" s="2">
        <v>5.0</v>
      </c>
      <c r="J55" s="2">
        <v>3.0</v>
      </c>
      <c r="N55" s="2">
        <v>3.0</v>
      </c>
      <c r="Q55" s="13">
        <f t="shared" si="2"/>
        <v>11</v>
      </c>
      <c r="R55" s="116">
        <f t="shared" si="3"/>
        <v>0.1455026455</v>
      </c>
      <c r="S55" s="2">
        <v>3.0</v>
      </c>
      <c r="AA55" s="13">
        <f t="shared" si="4"/>
        <v>3</v>
      </c>
      <c r="AB55" s="13">
        <f t="shared" si="5"/>
        <v>8</v>
      </c>
      <c r="AC55" s="116">
        <f t="shared" si="6"/>
        <v>0.1058201058</v>
      </c>
    </row>
    <row r="56">
      <c r="A56" s="2" t="s">
        <v>327</v>
      </c>
      <c r="B56" s="2">
        <v>2202.0</v>
      </c>
      <c r="C56" s="2">
        <v>32.3</v>
      </c>
      <c r="D56" s="2">
        <v>47.3</v>
      </c>
      <c r="E56" s="2">
        <v>10.3</v>
      </c>
      <c r="F56" s="2">
        <v>6.9</v>
      </c>
      <c r="G56" s="2">
        <v>2.0</v>
      </c>
      <c r="H56" s="119">
        <f t="shared" si="1"/>
        <v>1041.546</v>
      </c>
      <c r="I56" s="2">
        <v>13.0</v>
      </c>
      <c r="J56" s="2">
        <v>14.0</v>
      </c>
      <c r="K56" s="2">
        <v>29.0</v>
      </c>
      <c r="L56" s="2">
        <v>26.0</v>
      </c>
      <c r="M56" s="2">
        <v>11.0</v>
      </c>
      <c r="N56" s="2">
        <v>10.0</v>
      </c>
      <c r="O56" s="2">
        <v>22.0</v>
      </c>
      <c r="P56" s="2">
        <v>19.0</v>
      </c>
      <c r="Q56" s="13">
        <f t="shared" si="2"/>
        <v>144</v>
      </c>
      <c r="R56" s="116">
        <f t="shared" si="3"/>
        <v>0.1382560156</v>
      </c>
      <c r="S56" s="2">
        <v>9.0</v>
      </c>
      <c r="T56" s="2">
        <v>12.0</v>
      </c>
      <c r="U56" s="2">
        <v>19.0</v>
      </c>
      <c r="V56" s="2">
        <v>18.0</v>
      </c>
      <c r="W56" s="2">
        <v>9.0</v>
      </c>
      <c r="Y56" s="2">
        <v>12.0</v>
      </c>
      <c r="Z56" s="2">
        <v>5.0</v>
      </c>
      <c r="AA56" s="13">
        <f t="shared" si="4"/>
        <v>84</v>
      </c>
      <c r="AB56" s="13">
        <f t="shared" si="5"/>
        <v>60</v>
      </c>
      <c r="AC56" s="116">
        <f t="shared" si="6"/>
        <v>0.05760667316</v>
      </c>
    </row>
    <row r="57">
      <c r="A57" s="2" t="s">
        <v>24</v>
      </c>
      <c r="B57" s="2">
        <v>2315.0</v>
      </c>
      <c r="C57" s="2">
        <v>7.5</v>
      </c>
      <c r="D57" s="2">
        <v>77.8</v>
      </c>
      <c r="E57" s="2">
        <v>10.9</v>
      </c>
      <c r="F57" s="2">
        <v>2.2</v>
      </c>
      <c r="G57" s="2">
        <v>1.0</v>
      </c>
      <c r="H57" s="119">
        <f t="shared" si="1"/>
        <v>1801.07</v>
      </c>
      <c r="I57" s="2">
        <v>29.0</v>
      </c>
      <c r="J57" s="2">
        <v>36.0</v>
      </c>
      <c r="K57" s="2">
        <v>55.0</v>
      </c>
      <c r="L57" s="2">
        <v>45.0</v>
      </c>
      <c r="M57" s="2">
        <v>23.0</v>
      </c>
      <c r="N57" s="2">
        <v>13.0</v>
      </c>
      <c r="O57" s="2">
        <v>22.0</v>
      </c>
      <c r="P57" s="2">
        <v>25.0</v>
      </c>
      <c r="Q57" s="13">
        <f t="shared" si="2"/>
        <v>248</v>
      </c>
      <c r="R57" s="116">
        <f t="shared" si="3"/>
        <v>0.1376959252</v>
      </c>
      <c r="S57" s="2">
        <v>20.0</v>
      </c>
      <c r="T57" s="2">
        <v>26.0</v>
      </c>
      <c r="U57" s="2">
        <v>41.0</v>
      </c>
      <c r="V57" s="2">
        <v>28.0</v>
      </c>
      <c r="W57" s="2">
        <v>12.0</v>
      </c>
      <c r="X57" s="2">
        <v>5.0</v>
      </c>
      <c r="Y57" s="2">
        <v>7.0</v>
      </c>
      <c r="AA57" s="13">
        <f t="shared" si="4"/>
        <v>139</v>
      </c>
      <c r="AB57" s="13">
        <f t="shared" si="5"/>
        <v>109</v>
      </c>
      <c r="AC57" s="116">
        <f t="shared" si="6"/>
        <v>0.06051958003</v>
      </c>
    </row>
    <row r="58">
      <c r="A58" s="2" t="s">
        <v>339</v>
      </c>
      <c r="B58" s="2">
        <v>2814.0</v>
      </c>
      <c r="C58" s="2">
        <v>36.1</v>
      </c>
      <c r="D58" s="2">
        <v>41.5</v>
      </c>
      <c r="E58" s="2">
        <v>11.5</v>
      </c>
      <c r="F58" s="2">
        <v>8.5</v>
      </c>
      <c r="G58" s="2"/>
      <c r="H58" s="119">
        <f t="shared" si="1"/>
        <v>1167.81</v>
      </c>
      <c r="I58" s="2">
        <v>8.0</v>
      </c>
      <c r="J58" s="2">
        <v>32.0</v>
      </c>
      <c r="K58" s="2">
        <v>27.0</v>
      </c>
      <c r="L58" s="2">
        <v>18.0</v>
      </c>
      <c r="M58" s="2">
        <v>22.0</v>
      </c>
      <c r="N58" s="2">
        <v>15.0</v>
      </c>
      <c r="O58" s="2">
        <v>20.0</v>
      </c>
      <c r="P58" s="2">
        <v>17.0</v>
      </c>
      <c r="Q58" s="13">
        <f t="shared" si="2"/>
        <v>159</v>
      </c>
      <c r="R58" s="116">
        <f t="shared" si="3"/>
        <v>0.136152285</v>
      </c>
      <c r="S58" s="2">
        <v>4.0</v>
      </c>
      <c r="T58" s="2">
        <v>23.0</v>
      </c>
      <c r="U58" s="2">
        <v>15.0</v>
      </c>
      <c r="V58" s="2">
        <v>11.0</v>
      </c>
      <c r="W58" s="2">
        <v>15.0</v>
      </c>
      <c r="X58" s="2">
        <v>8.0</v>
      </c>
      <c r="Y58" s="2">
        <v>10.0</v>
      </c>
      <c r="Z58" s="2">
        <v>7.0</v>
      </c>
      <c r="AA58" s="13">
        <f t="shared" si="4"/>
        <v>93</v>
      </c>
      <c r="AB58" s="13">
        <f t="shared" si="5"/>
        <v>66</v>
      </c>
      <c r="AC58" s="116">
        <f t="shared" si="6"/>
        <v>0.05651604285</v>
      </c>
    </row>
    <row r="59">
      <c r="A59" s="2" t="s">
        <v>332</v>
      </c>
      <c r="B59" s="2">
        <v>1156.0</v>
      </c>
      <c r="C59" s="2">
        <v>13.8</v>
      </c>
      <c r="D59" s="2">
        <v>56.7</v>
      </c>
      <c r="E59" s="2">
        <v>18.3</v>
      </c>
      <c r="F59" s="2">
        <v>9.0</v>
      </c>
      <c r="G59" s="2">
        <v>0.5</v>
      </c>
      <c r="H59" s="119">
        <f t="shared" si="1"/>
        <v>655.452</v>
      </c>
      <c r="I59" s="2">
        <v>21.0</v>
      </c>
      <c r="J59" s="2">
        <v>17.0</v>
      </c>
      <c r="K59" s="2">
        <v>9.0</v>
      </c>
      <c r="L59" s="2">
        <v>15.0</v>
      </c>
      <c r="M59" s="2">
        <v>6.0</v>
      </c>
      <c r="N59" s="2">
        <v>3.0</v>
      </c>
      <c r="O59" s="2">
        <v>7.0</v>
      </c>
      <c r="P59" s="2">
        <v>10.0</v>
      </c>
      <c r="Q59" s="13">
        <f t="shared" si="2"/>
        <v>88</v>
      </c>
      <c r="R59" s="116">
        <f t="shared" si="3"/>
        <v>0.1342584964</v>
      </c>
      <c r="S59" s="2">
        <v>18.0</v>
      </c>
      <c r="T59" s="2">
        <v>12.0</v>
      </c>
      <c r="U59" s="2">
        <v>3.0</v>
      </c>
      <c r="V59" s="2">
        <v>10.0</v>
      </c>
      <c r="W59" s="2">
        <v>3.0</v>
      </c>
      <c r="Z59" s="2">
        <v>6.0</v>
      </c>
      <c r="AA59" s="13">
        <f t="shared" si="4"/>
        <v>52</v>
      </c>
      <c r="AB59" s="13">
        <f t="shared" si="5"/>
        <v>36</v>
      </c>
      <c r="AC59" s="116">
        <f t="shared" si="6"/>
        <v>0.05492393036</v>
      </c>
    </row>
    <row r="60">
      <c r="A60" s="115" t="s">
        <v>12</v>
      </c>
      <c r="B60" s="2">
        <v>1760.0</v>
      </c>
      <c r="C60" s="2">
        <v>32.2</v>
      </c>
      <c r="D60" s="2">
        <v>38.6</v>
      </c>
      <c r="E60" s="2">
        <v>8.8</v>
      </c>
      <c r="H60" s="119">
        <f t="shared" si="1"/>
        <v>679.36</v>
      </c>
      <c r="I60" s="2">
        <v>9.0</v>
      </c>
      <c r="J60" s="2">
        <v>21.0</v>
      </c>
      <c r="K60" s="2">
        <v>12.0</v>
      </c>
      <c r="L60" s="2">
        <v>15.0</v>
      </c>
      <c r="M60" s="2">
        <v>8.0</v>
      </c>
      <c r="N60" s="2">
        <v>7.0</v>
      </c>
      <c r="O60" s="2">
        <v>12.0</v>
      </c>
      <c r="P60" s="2">
        <v>5.0</v>
      </c>
      <c r="Q60" s="13">
        <f t="shared" si="2"/>
        <v>89</v>
      </c>
      <c r="R60" s="116">
        <f t="shared" si="3"/>
        <v>0.1310056524</v>
      </c>
      <c r="T60" s="2">
        <v>13.0</v>
      </c>
      <c r="U60" s="2">
        <v>7.0</v>
      </c>
      <c r="V60" s="2">
        <v>11.0</v>
      </c>
      <c r="W60" s="2">
        <v>3.0</v>
      </c>
      <c r="Y60" s="2">
        <v>4.0</v>
      </c>
      <c r="AA60" s="13">
        <f t="shared" si="4"/>
        <v>38</v>
      </c>
      <c r="AB60" s="13">
        <f t="shared" si="5"/>
        <v>51</v>
      </c>
      <c r="AC60" s="116">
        <f t="shared" si="6"/>
        <v>0.07507065473</v>
      </c>
    </row>
    <row r="61">
      <c r="A61" s="2" t="s">
        <v>398</v>
      </c>
      <c r="B61" s="2">
        <v>1132.0</v>
      </c>
      <c r="C61" s="2">
        <v>52.8</v>
      </c>
      <c r="D61" s="2">
        <v>7.5</v>
      </c>
      <c r="E61" s="2">
        <v>30.6</v>
      </c>
      <c r="H61" s="119">
        <f t="shared" si="1"/>
        <v>84.9</v>
      </c>
      <c r="I61" s="2"/>
      <c r="J61" s="2">
        <v>3.0</v>
      </c>
      <c r="K61" s="2">
        <v>3.0</v>
      </c>
      <c r="L61" s="2">
        <v>4.0</v>
      </c>
      <c r="Q61" s="13">
        <f t="shared" si="2"/>
        <v>10</v>
      </c>
      <c r="R61" s="116">
        <f t="shared" si="3"/>
        <v>0.1177856302</v>
      </c>
      <c r="U61" s="2">
        <v>3.0</v>
      </c>
      <c r="AA61" s="13">
        <f t="shared" si="4"/>
        <v>3</v>
      </c>
      <c r="AB61" s="13">
        <f t="shared" si="5"/>
        <v>7</v>
      </c>
      <c r="AC61" s="116">
        <f t="shared" si="6"/>
        <v>0.08244994111</v>
      </c>
    </row>
    <row r="62">
      <c r="A62" s="115" t="s">
        <v>11</v>
      </c>
      <c r="B62" s="2">
        <v>1667.0</v>
      </c>
      <c r="C62" s="2">
        <v>39.5</v>
      </c>
      <c r="D62" s="2">
        <v>32.8</v>
      </c>
      <c r="E62" s="2">
        <v>16.4</v>
      </c>
      <c r="H62" s="119">
        <f t="shared" si="1"/>
        <v>546.776</v>
      </c>
      <c r="I62" s="2">
        <v>8.0</v>
      </c>
      <c r="K62" s="2">
        <v>6.0</v>
      </c>
      <c r="L62" s="2">
        <v>11.0</v>
      </c>
      <c r="M62" s="2">
        <v>9.0</v>
      </c>
      <c r="N62" s="2">
        <v>8.0</v>
      </c>
      <c r="O62" s="2">
        <v>8.0</v>
      </c>
      <c r="P62" s="2">
        <v>12.0</v>
      </c>
      <c r="Q62" s="13">
        <f t="shared" si="2"/>
        <v>62</v>
      </c>
      <c r="R62" s="116">
        <f t="shared" si="3"/>
        <v>0.1133919558</v>
      </c>
      <c r="V62" s="2">
        <v>4.0</v>
      </c>
      <c r="X62" s="2">
        <v>5.0</v>
      </c>
      <c r="Z62" s="2">
        <v>3.0</v>
      </c>
      <c r="AA62" s="13">
        <f t="shared" si="4"/>
        <v>12</v>
      </c>
      <c r="AB62" s="13">
        <f t="shared" si="5"/>
        <v>50</v>
      </c>
      <c r="AC62" s="116">
        <f t="shared" si="6"/>
        <v>0.09144512561</v>
      </c>
    </row>
    <row r="63">
      <c r="A63" s="2" t="s">
        <v>338</v>
      </c>
      <c r="B63" s="2">
        <v>1578.0</v>
      </c>
      <c r="C63" s="2">
        <v>56.2</v>
      </c>
      <c r="D63" s="2">
        <v>16.8</v>
      </c>
      <c r="E63" s="2">
        <v>16.6</v>
      </c>
      <c r="F63" s="2">
        <v>7.5</v>
      </c>
      <c r="G63" s="2">
        <v>2.3</v>
      </c>
      <c r="H63" s="119">
        <f t="shared" si="1"/>
        <v>265.104</v>
      </c>
      <c r="I63" s="2">
        <v>4.0</v>
      </c>
      <c r="J63" s="2">
        <v>3.0</v>
      </c>
      <c r="K63" s="2">
        <v>5.0</v>
      </c>
      <c r="L63" s="2">
        <v>4.0</v>
      </c>
      <c r="M63" s="2">
        <v>3.0</v>
      </c>
      <c r="O63" s="2">
        <v>6.0</v>
      </c>
      <c r="P63" s="2">
        <v>4.0</v>
      </c>
      <c r="Q63" s="13">
        <f t="shared" si="2"/>
        <v>29</v>
      </c>
      <c r="R63" s="116">
        <f t="shared" si="3"/>
        <v>0.1093910314</v>
      </c>
      <c r="S63" s="2">
        <v>3.0</v>
      </c>
      <c r="W63" s="2">
        <v>3.0</v>
      </c>
      <c r="Y63" s="2">
        <v>4.0</v>
      </c>
      <c r="AA63" s="13">
        <f t="shared" si="4"/>
        <v>10</v>
      </c>
      <c r="AB63" s="13">
        <f t="shared" si="5"/>
        <v>19</v>
      </c>
      <c r="AC63" s="116">
        <f t="shared" si="6"/>
        <v>0.07166998612</v>
      </c>
    </row>
    <row r="64">
      <c r="A64" s="115" t="s">
        <v>399</v>
      </c>
      <c r="B64" s="2">
        <v>975.0</v>
      </c>
      <c r="C64" s="2">
        <v>17.5</v>
      </c>
      <c r="D64" s="2">
        <v>37.3</v>
      </c>
      <c r="H64" s="119">
        <f t="shared" si="1"/>
        <v>363.675</v>
      </c>
      <c r="I64" s="2">
        <v>13.0</v>
      </c>
      <c r="J64" s="2">
        <v>7.0</v>
      </c>
      <c r="K64" s="2">
        <v>5.0</v>
      </c>
      <c r="L64" s="2">
        <v>7.0</v>
      </c>
      <c r="O64" s="2">
        <v>4.0</v>
      </c>
      <c r="P64" s="2">
        <v>3.0</v>
      </c>
      <c r="Q64" s="13">
        <f t="shared" si="2"/>
        <v>39</v>
      </c>
      <c r="R64" s="116">
        <f t="shared" si="3"/>
        <v>0.1072386059</v>
      </c>
      <c r="S64" s="2">
        <v>7.0</v>
      </c>
      <c r="T64" s="2">
        <v>4.0</v>
      </c>
      <c r="U64" s="2">
        <v>3.0</v>
      </c>
      <c r="AA64" s="13">
        <f t="shared" si="4"/>
        <v>14</v>
      </c>
      <c r="AB64" s="13">
        <f t="shared" si="5"/>
        <v>25</v>
      </c>
      <c r="AC64" s="116">
        <f t="shared" si="6"/>
        <v>0.06874269609</v>
      </c>
    </row>
    <row r="65">
      <c r="A65" s="2" t="s">
        <v>335</v>
      </c>
      <c r="B65" s="2">
        <v>1569.0</v>
      </c>
      <c r="C65" s="2">
        <v>31.7</v>
      </c>
      <c r="D65" s="2">
        <v>20.3</v>
      </c>
      <c r="E65" s="2">
        <v>34.8</v>
      </c>
      <c r="F65" s="2">
        <v>10.3</v>
      </c>
      <c r="G65" s="2">
        <v>1.5</v>
      </c>
      <c r="H65" s="119">
        <f t="shared" si="1"/>
        <v>318.507</v>
      </c>
      <c r="I65" s="2">
        <v>9.0</v>
      </c>
      <c r="J65" s="2">
        <v>5.0</v>
      </c>
      <c r="L65" s="2">
        <v>6.0</v>
      </c>
      <c r="M65" s="2">
        <v>5.0</v>
      </c>
      <c r="N65" s="2">
        <v>4.0</v>
      </c>
      <c r="P65" s="2">
        <v>5.0</v>
      </c>
      <c r="Q65" s="13">
        <f t="shared" si="2"/>
        <v>34</v>
      </c>
      <c r="R65" s="116">
        <f t="shared" si="3"/>
        <v>0.1067480464</v>
      </c>
      <c r="S65" s="2">
        <v>4.0</v>
      </c>
      <c r="T65" s="2">
        <v>3.0</v>
      </c>
      <c r="V65" s="2">
        <v>5.0</v>
      </c>
      <c r="W65" s="2">
        <v>5.0</v>
      </c>
      <c r="Z65" s="2">
        <v>4.0</v>
      </c>
      <c r="AA65" s="13">
        <f t="shared" si="4"/>
        <v>21</v>
      </c>
      <c r="AB65" s="13">
        <f t="shared" si="5"/>
        <v>13</v>
      </c>
      <c r="AC65" s="116">
        <f t="shared" si="6"/>
        <v>0.04081542949</v>
      </c>
    </row>
    <row r="66">
      <c r="A66" s="2" t="s">
        <v>340</v>
      </c>
      <c r="B66" s="2">
        <v>2196.0</v>
      </c>
      <c r="C66" s="2">
        <v>18.2</v>
      </c>
      <c r="D66" s="2">
        <v>32.5</v>
      </c>
      <c r="E66" s="2">
        <v>39.7</v>
      </c>
      <c r="F66" s="2">
        <v>6.6</v>
      </c>
      <c r="G66" s="2">
        <v>1.4</v>
      </c>
      <c r="H66" s="119">
        <f t="shared" si="1"/>
        <v>713.7</v>
      </c>
      <c r="I66" s="2">
        <v>8.0</v>
      </c>
      <c r="J66" s="2">
        <v>15.0</v>
      </c>
      <c r="K66" s="2">
        <v>13.0</v>
      </c>
      <c r="L66" s="2">
        <v>7.0</v>
      </c>
      <c r="M66" s="2">
        <v>9.0</v>
      </c>
      <c r="N66" s="2">
        <v>5.0</v>
      </c>
      <c r="O66" s="2">
        <v>12.0</v>
      </c>
      <c r="P66" s="2">
        <v>7.0</v>
      </c>
      <c r="Q66" s="13">
        <f t="shared" si="2"/>
        <v>76</v>
      </c>
      <c r="R66" s="116">
        <f t="shared" si="3"/>
        <v>0.1064873196</v>
      </c>
      <c r="S66" s="2">
        <v>8.0</v>
      </c>
      <c r="T66" s="2">
        <v>12.0</v>
      </c>
      <c r="U66" s="2">
        <v>4.0</v>
      </c>
      <c r="W66" s="2">
        <v>4.0</v>
      </c>
      <c r="Y66" s="2">
        <v>7.0</v>
      </c>
      <c r="Z66" s="2">
        <v>3.0</v>
      </c>
      <c r="AA66" s="13">
        <f t="shared" si="4"/>
        <v>38</v>
      </c>
      <c r="AB66" s="13">
        <f t="shared" si="5"/>
        <v>38</v>
      </c>
      <c r="AC66" s="116">
        <f t="shared" si="6"/>
        <v>0.0532436598</v>
      </c>
    </row>
    <row r="67">
      <c r="A67" s="115" t="s">
        <v>400</v>
      </c>
      <c r="B67" s="2">
        <v>870.0</v>
      </c>
      <c r="C67" s="2">
        <v>53.4</v>
      </c>
      <c r="D67" s="2">
        <v>13.9</v>
      </c>
      <c r="E67" s="2">
        <v>7.6</v>
      </c>
      <c r="H67" s="119">
        <f t="shared" si="1"/>
        <v>120.93</v>
      </c>
      <c r="I67" s="2">
        <v>5.0</v>
      </c>
      <c r="J67" s="2">
        <v>3.0</v>
      </c>
      <c r="K67" s="2">
        <v>4.0</v>
      </c>
      <c r="Q67" s="13">
        <f t="shared" si="2"/>
        <v>12</v>
      </c>
      <c r="R67" s="116">
        <f t="shared" si="3"/>
        <v>0.09923096006</v>
      </c>
      <c r="S67" s="2">
        <v>3.0</v>
      </c>
      <c r="U67" s="2"/>
      <c r="AA67" s="13">
        <f t="shared" si="4"/>
        <v>3</v>
      </c>
      <c r="AB67" s="13">
        <f t="shared" si="5"/>
        <v>9</v>
      </c>
      <c r="AC67" s="116">
        <f t="shared" si="6"/>
        <v>0.07442322004</v>
      </c>
    </row>
    <row r="68">
      <c r="A68" s="115" t="s">
        <v>9</v>
      </c>
      <c r="B68" s="2">
        <v>900.0</v>
      </c>
      <c r="C68" s="2">
        <v>31.2</v>
      </c>
      <c r="D68" s="2">
        <v>18.6</v>
      </c>
      <c r="E68" s="2">
        <v>5.0</v>
      </c>
      <c r="G68" s="2">
        <v>9.9</v>
      </c>
      <c r="H68" s="119">
        <f t="shared" si="1"/>
        <v>167.4</v>
      </c>
      <c r="I68" s="2">
        <v>6.0</v>
      </c>
      <c r="K68" s="2">
        <v>3.0</v>
      </c>
      <c r="O68" s="2">
        <v>3.0</v>
      </c>
      <c r="P68" s="2">
        <v>4.0</v>
      </c>
      <c r="Q68" s="13">
        <f t="shared" si="2"/>
        <v>16</v>
      </c>
      <c r="R68" s="116">
        <f t="shared" si="3"/>
        <v>0.09557945042</v>
      </c>
      <c r="S68" s="2">
        <v>4.0</v>
      </c>
      <c r="AA68" s="13">
        <f t="shared" si="4"/>
        <v>4</v>
      </c>
      <c r="AB68" s="13">
        <f t="shared" si="5"/>
        <v>12</v>
      </c>
      <c r="AC68" s="116">
        <f t="shared" si="6"/>
        <v>0.07168458781</v>
      </c>
    </row>
    <row r="69">
      <c r="A69" s="115" t="s">
        <v>401</v>
      </c>
      <c r="B69" s="2">
        <v>986.0</v>
      </c>
      <c r="C69" s="2">
        <v>25.9</v>
      </c>
      <c r="D69" s="2">
        <v>29.8</v>
      </c>
      <c r="H69" s="119">
        <f t="shared" si="1"/>
        <v>293.828</v>
      </c>
      <c r="I69" s="2">
        <v>6.0</v>
      </c>
      <c r="J69" s="2">
        <v>10.0</v>
      </c>
      <c r="N69" s="2">
        <v>10.0</v>
      </c>
      <c r="Q69" s="13">
        <f t="shared" si="2"/>
        <v>26</v>
      </c>
      <c r="R69" s="116">
        <f t="shared" si="3"/>
        <v>0.08848714214</v>
      </c>
      <c r="S69" s="2">
        <v>3.0</v>
      </c>
      <c r="X69" s="2"/>
      <c r="AA69" s="13">
        <f t="shared" si="4"/>
        <v>3</v>
      </c>
      <c r="AB69" s="13">
        <f t="shared" si="5"/>
        <v>23</v>
      </c>
      <c r="AC69" s="116">
        <f t="shared" si="6"/>
        <v>0.07827708728</v>
      </c>
    </row>
    <row r="70">
      <c r="A70" s="2" t="s">
        <v>341</v>
      </c>
      <c r="B70" s="2">
        <v>2043.0</v>
      </c>
      <c r="C70" s="2">
        <v>69.8</v>
      </c>
      <c r="D70" s="2">
        <v>11.3</v>
      </c>
      <c r="E70" s="2">
        <v>9.6</v>
      </c>
      <c r="F70" s="2">
        <v>7.5</v>
      </c>
      <c r="H70" s="119">
        <f t="shared" si="1"/>
        <v>230.859</v>
      </c>
      <c r="I70" s="2">
        <v>3.0</v>
      </c>
      <c r="J70" s="2">
        <v>0.0</v>
      </c>
      <c r="K70" s="2">
        <v>4.0</v>
      </c>
      <c r="L70" s="2">
        <v>3.0</v>
      </c>
      <c r="O70" s="2">
        <v>4.0</v>
      </c>
      <c r="P70" s="2">
        <v>5.0</v>
      </c>
      <c r="Q70" s="13">
        <f t="shared" si="2"/>
        <v>19</v>
      </c>
      <c r="R70" s="116">
        <f t="shared" si="3"/>
        <v>0.08230131812</v>
      </c>
      <c r="S70" s="2">
        <v>3.0</v>
      </c>
      <c r="Y70" s="2">
        <v>4.0</v>
      </c>
      <c r="Z70" s="2">
        <v>3.0</v>
      </c>
      <c r="AA70" s="13">
        <f t="shared" si="4"/>
        <v>10</v>
      </c>
      <c r="AB70" s="13">
        <f t="shared" si="5"/>
        <v>9</v>
      </c>
      <c r="AC70" s="116">
        <f t="shared" si="6"/>
        <v>0.0389848349</v>
      </c>
    </row>
    <row r="71">
      <c r="A71" s="2" t="s">
        <v>329</v>
      </c>
      <c r="B71" s="2">
        <v>2896.0</v>
      </c>
      <c r="C71" s="2">
        <v>4.0</v>
      </c>
      <c r="D71" s="2">
        <v>78.0</v>
      </c>
      <c r="E71" s="2">
        <v>14.1</v>
      </c>
      <c r="F71" s="2">
        <v>2.7</v>
      </c>
      <c r="G71" s="2">
        <v>0.8</v>
      </c>
      <c r="H71" s="119">
        <f t="shared" si="1"/>
        <v>2258.88</v>
      </c>
      <c r="I71" s="2">
        <v>38.0</v>
      </c>
      <c r="J71" s="2">
        <v>22.0</v>
      </c>
      <c r="K71" s="2">
        <v>21.0</v>
      </c>
      <c r="L71" s="2">
        <v>26.0</v>
      </c>
      <c r="M71" s="2">
        <v>18.0</v>
      </c>
      <c r="N71" s="2">
        <v>14.0</v>
      </c>
      <c r="O71" s="2">
        <v>26.0</v>
      </c>
      <c r="P71" s="2">
        <v>20.0</v>
      </c>
      <c r="Q71" s="13">
        <f t="shared" si="2"/>
        <v>185</v>
      </c>
      <c r="R71" s="116">
        <f t="shared" si="3"/>
        <v>0.08189899419</v>
      </c>
      <c r="S71" s="2">
        <v>30.0</v>
      </c>
      <c r="T71" s="2">
        <v>14.0</v>
      </c>
      <c r="V71" s="2">
        <v>17.0</v>
      </c>
      <c r="W71" s="2">
        <v>8.0</v>
      </c>
      <c r="X71" s="2">
        <v>14.0</v>
      </c>
      <c r="Y71" s="2">
        <v>12.0</v>
      </c>
      <c r="Z71" s="2">
        <v>10.0</v>
      </c>
      <c r="AA71" s="13">
        <f t="shared" si="4"/>
        <v>105</v>
      </c>
      <c r="AB71" s="13">
        <f t="shared" si="5"/>
        <v>80</v>
      </c>
      <c r="AC71" s="116">
        <f t="shared" si="6"/>
        <v>0.03541578127</v>
      </c>
    </row>
    <row r="72">
      <c r="A72" s="2" t="s">
        <v>320</v>
      </c>
      <c r="B72" s="2">
        <v>2522.0</v>
      </c>
      <c r="C72" s="2">
        <v>9.5</v>
      </c>
      <c r="D72" s="2">
        <v>73.8</v>
      </c>
      <c r="E72" s="2">
        <v>9.6</v>
      </c>
      <c r="F72" s="2">
        <v>3.9</v>
      </c>
      <c r="G72" s="2">
        <v>2.1</v>
      </c>
      <c r="H72" s="119">
        <f t="shared" si="1"/>
        <v>1861.236</v>
      </c>
      <c r="I72" s="2">
        <v>21.0</v>
      </c>
      <c r="J72" s="2">
        <v>18.0</v>
      </c>
      <c r="K72" s="2">
        <v>29.0</v>
      </c>
      <c r="L72" s="2">
        <v>30.0</v>
      </c>
      <c r="M72" s="2">
        <v>22.0</v>
      </c>
      <c r="N72" s="2">
        <v>11.0</v>
      </c>
      <c r="O72" s="2">
        <v>20.0</v>
      </c>
      <c r="P72" s="2">
        <v>0.0</v>
      </c>
      <c r="Q72" s="13">
        <f t="shared" si="2"/>
        <v>151</v>
      </c>
      <c r="R72" s="116">
        <f t="shared" si="3"/>
        <v>0.08112888425</v>
      </c>
      <c r="S72" s="2">
        <v>17.0</v>
      </c>
      <c r="U72" s="2">
        <v>21.0</v>
      </c>
      <c r="V72" s="2">
        <v>20.0</v>
      </c>
      <c r="W72" s="2">
        <v>9.0</v>
      </c>
      <c r="X72" s="2">
        <v>4.0</v>
      </c>
      <c r="Y72" s="2">
        <v>9.0</v>
      </c>
      <c r="AA72" s="13">
        <f t="shared" si="4"/>
        <v>80</v>
      </c>
      <c r="AB72" s="13">
        <f t="shared" si="5"/>
        <v>71</v>
      </c>
      <c r="AC72" s="116">
        <f t="shared" si="6"/>
        <v>0.03814669392</v>
      </c>
    </row>
    <row r="73">
      <c r="A73" s="115" t="s">
        <v>402</v>
      </c>
      <c r="B73" s="2">
        <v>1411.0</v>
      </c>
      <c r="C73" s="2">
        <v>23.4</v>
      </c>
      <c r="D73" s="2">
        <v>39.6</v>
      </c>
      <c r="E73" s="2">
        <v>17.7</v>
      </c>
      <c r="G73" s="2" t="s">
        <v>66</v>
      </c>
      <c r="H73" s="119">
        <f t="shared" si="1"/>
        <v>558.756</v>
      </c>
      <c r="I73" s="2">
        <v>6.0</v>
      </c>
      <c r="J73" s="2">
        <v>3.0</v>
      </c>
      <c r="K73" s="2">
        <v>6.0</v>
      </c>
      <c r="L73" s="2">
        <v>8.0</v>
      </c>
      <c r="M73" s="2">
        <v>4.0</v>
      </c>
      <c r="N73" s="2">
        <v>5.0</v>
      </c>
      <c r="O73" s="2">
        <v>6.0</v>
      </c>
      <c r="P73" s="2">
        <v>5.0</v>
      </c>
      <c r="Q73" s="13">
        <f t="shared" si="2"/>
        <v>43</v>
      </c>
      <c r="R73" s="116">
        <f t="shared" si="3"/>
        <v>0.07695666803</v>
      </c>
      <c r="S73" s="2">
        <v>6.0</v>
      </c>
      <c r="V73" s="2">
        <v>3.0</v>
      </c>
      <c r="W73" s="2">
        <v>3.0</v>
      </c>
      <c r="X73" s="2">
        <v>4.0</v>
      </c>
      <c r="Y73" s="2">
        <v>3.0</v>
      </c>
      <c r="Z73" s="2">
        <v>4.0</v>
      </c>
      <c r="AA73" s="13">
        <f t="shared" si="4"/>
        <v>23</v>
      </c>
      <c r="AB73" s="13">
        <f t="shared" si="5"/>
        <v>20</v>
      </c>
      <c r="AC73" s="116">
        <f t="shared" si="6"/>
        <v>0.03579379908</v>
      </c>
    </row>
    <row r="74">
      <c r="A74" s="2" t="s">
        <v>403</v>
      </c>
      <c r="B74" s="2">
        <v>1448.0</v>
      </c>
      <c r="C74" s="2">
        <v>39.0</v>
      </c>
      <c r="D74" s="2">
        <v>6.2</v>
      </c>
      <c r="E74" s="2">
        <v>44.0</v>
      </c>
      <c r="F74" s="2">
        <v>5.9</v>
      </c>
      <c r="G74" s="2">
        <v>2.9</v>
      </c>
      <c r="H74" s="119">
        <f t="shared" si="1"/>
        <v>89.776</v>
      </c>
      <c r="I74" s="2">
        <v>3.0</v>
      </c>
      <c r="J74" s="2">
        <v>3.0</v>
      </c>
      <c r="Q74" s="13">
        <f t="shared" si="2"/>
        <v>6</v>
      </c>
      <c r="R74" s="116">
        <f t="shared" si="3"/>
        <v>0.06683300659</v>
      </c>
      <c r="AA74" s="13">
        <f t="shared" si="4"/>
        <v>0</v>
      </c>
      <c r="AB74" s="13">
        <f t="shared" si="5"/>
        <v>6</v>
      </c>
      <c r="AC74" s="116">
        <f t="shared" si="6"/>
        <v>0.06683300659</v>
      </c>
    </row>
    <row r="75">
      <c r="A75" s="115" t="s">
        <v>404</v>
      </c>
      <c r="B75" s="2">
        <v>988.0</v>
      </c>
      <c r="C75" s="2">
        <v>18.0</v>
      </c>
      <c r="D75" s="2">
        <v>60.0</v>
      </c>
      <c r="E75" s="2">
        <v>4.0</v>
      </c>
      <c r="H75" s="119">
        <f t="shared" si="1"/>
        <v>592.8</v>
      </c>
      <c r="I75" s="2">
        <v>8.0</v>
      </c>
      <c r="J75" s="2">
        <v>10.0</v>
      </c>
      <c r="K75" s="2">
        <v>3.0</v>
      </c>
      <c r="M75" s="2">
        <v>4.0</v>
      </c>
      <c r="N75" s="2">
        <v>4.0</v>
      </c>
      <c r="O75" s="2">
        <v>7.0</v>
      </c>
      <c r="Q75" s="13">
        <f t="shared" si="2"/>
        <v>36</v>
      </c>
      <c r="R75" s="116">
        <f t="shared" si="3"/>
        <v>0.06072874494</v>
      </c>
      <c r="S75" s="2">
        <v>6.0</v>
      </c>
      <c r="W75" s="2">
        <v>4.0</v>
      </c>
      <c r="AA75" s="13">
        <f t="shared" si="4"/>
        <v>10</v>
      </c>
      <c r="AB75" s="13">
        <f t="shared" si="5"/>
        <v>26</v>
      </c>
      <c r="AC75" s="116">
        <f t="shared" si="6"/>
        <v>0.04385964912</v>
      </c>
    </row>
    <row r="76">
      <c r="A76" s="2" t="s">
        <v>28</v>
      </c>
      <c r="B76" s="2">
        <v>3177.0</v>
      </c>
      <c r="C76" s="2">
        <v>3.7</v>
      </c>
      <c r="D76" s="2">
        <v>68.5</v>
      </c>
      <c r="E76" s="2">
        <v>19.8</v>
      </c>
      <c r="F76" s="2">
        <v>5.2</v>
      </c>
      <c r="G76" s="2">
        <v>2.0</v>
      </c>
      <c r="H76" s="119">
        <f t="shared" si="1"/>
        <v>2176.245</v>
      </c>
      <c r="I76" s="2">
        <v>21.0</v>
      </c>
      <c r="J76" s="2">
        <v>25.0</v>
      </c>
      <c r="K76" s="2">
        <v>16.0</v>
      </c>
      <c r="L76" s="2">
        <v>9.0</v>
      </c>
      <c r="M76" s="2">
        <v>18.0</v>
      </c>
      <c r="N76" s="2">
        <v>13.0</v>
      </c>
      <c r="O76" s="2">
        <v>15.0</v>
      </c>
      <c r="P76" s="2">
        <v>10.0</v>
      </c>
      <c r="Q76" s="13">
        <f t="shared" si="2"/>
        <v>127</v>
      </c>
      <c r="R76" s="116">
        <f t="shared" si="3"/>
        <v>0.05835740002</v>
      </c>
      <c r="S76" s="2">
        <v>15.0</v>
      </c>
      <c r="T76" s="2">
        <v>20.0</v>
      </c>
      <c r="U76" s="2">
        <v>9.0</v>
      </c>
      <c r="V76" s="2">
        <v>6.0</v>
      </c>
      <c r="W76" s="2">
        <v>13.0</v>
      </c>
      <c r="X76" s="2">
        <v>7.0</v>
      </c>
      <c r="Y76" s="2">
        <v>11.0</v>
      </c>
      <c r="Z76" s="2">
        <v>5.0</v>
      </c>
      <c r="AA76" s="13">
        <f t="shared" si="4"/>
        <v>86</v>
      </c>
      <c r="AB76" s="13">
        <f t="shared" si="5"/>
        <v>41</v>
      </c>
      <c r="AC76" s="116">
        <f t="shared" si="6"/>
        <v>0.01883979056</v>
      </c>
    </row>
    <row r="77">
      <c r="A77" s="115" t="s">
        <v>216</v>
      </c>
      <c r="B77" s="2">
        <v>200.0</v>
      </c>
      <c r="C77" s="2">
        <v>44.0</v>
      </c>
      <c r="D77" s="2">
        <v>38.9</v>
      </c>
      <c r="E77" s="2">
        <v>3.1</v>
      </c>
      <c r="F77" s="2">
        <v>13.7</v>
      </c>
      <c r="G77" s="2"/>
      <c r="H77" s="119">
        <f t="shared" si="1"/>
        <v>77.8</v>
      </c>
      <c r="J77" s="2">
        <v>4.0</v>
      </c>
      <c r="Q77" s="13">
        <f t="shared" si="2"/>
        <v>4</v>
      </c>
      <c r="R77" s="116">
        <f t="shared" si="3"/>
        <v>0.05141388175</v>
      </c>
      <c r="AA77" s="13">
        <f t="shared" si="4"/>
        <v>0</v>
      </c>
      <c r="AB77" s="13">
        <f t="shared" si="5"/>
        <v>4</v>
      </c>
      <c r="AC77" s="116">
        <f t="shared" si="6"/>
        <v>0.05141388175</v>
      </c>
    </row>
    <row r="78">
      <c r="A78" s="115" t="s">
        <v>217</v>
      </c>
      <c r="B78" s="2">
        <v>426.0</v>
      </c>
      <c r="C78" s="2">
        <v>37.3</v>
      </c>
      <c r="D78" s="2">
        <v>30.3</v>
      </c>
      <c r="E78" s="2">
        <v>10.1</v>
      </c>
      <c r="H78" s="119">
        <f t="shared" si="1"/>
        <v>129.078</v>
      </c>
      <c r="I78" s="2">
        <v>3.0</v>
      </c>
      <c r="J78" s="2">
        <v>3.0</v>
      </c>
      <c r="Q78" s="13">
        <f t="shared" si="2"/>
        <v>6</v>
      </c>
      <c r="R78" s="116">
        <f t="shared" si="3"/>
        <v>0.04648352159</v>
      </c>
      <c r="AA78" s="13">
        <f t="shared" si="4"/>
        <v>0</v>
      </c>
      <c r="AB78" s="13">
        <f t="shared" si="5"/>
        <v>6</v>
      </c>
      <c r="AC78" s="116">
        <f t="shared" si="6"/>
        <v>0.04648352159</v>
      </c>
    </row>
    <row r="79">
      <c r="A79" s="115" t="s">
        <v>405</v>
      </c>
      <c r="B79" s="2">
        <v>680.0</v>
      </c>
      <c r="C79" s="2">
        <v>49.3</v>
      </c>
      <c r="D79" s="2">
        <v>11.3</v>
      </c>
      <c r="G79" s="2">
        <v>9.9</v>
      </c>
      <c r="H79" s="119">
        <f t="shared" si="1"/>
        <v>76.84</v>
      </c>
      <c r="I79" s="2">
        <v>3.0</v>
      </c>
      <c r="Q79" s="13">
        <f t="shared" si="2"/>
        <v>3</v>
      </c>
      <c r="R79" s="116">
        <f t="shared" si="3"/>
        <v>0.03904216554</v>
      </c>
      <c r="AA79" s="13">
        <f t="shared" si="4"/>
        <v>0</v>
      </c>
      <c r="AB79" s="13">
        <f t="shared" si="5"/>
        <v>3</v>
      </c>
      <c r="AC79" s="116">
        <f t="shared" si="6"/>
        <v>0.03904216554</v>
      </c>
    </row>
    <row r="80">
      <c r="A80" s="115" t="s">
        <v>6</v>
      </c>
      <c r="B80" s="2">
        <v>420.0</v>
      </c>
      <c r="D80" s="2">
        <v>65.0</v>
      </c>
      <c r="E80" s="2">
        <v>30.0</v>
      </c>
      <c r="G80" s="2">
        <v>9.0</v>
      </c>
      <c r="H80" s="119">
        <f t="shared" si="1"/>
        <v>273</v>
      </c>
      <c r="L80" s="2">
        <v>3.0</v>
      </c>
      <c r="M80" s="2">
        <v>3.0</v>
      </c>
      <c r="N80" s="2">
        <v>3.0</v>
      </c>
      <c r="Q80" s="13">
        <f t="shared" si="2"/>
        <v>9</v>
      </c>
      <c r="R80" s="116">
        <f t="shared" si="3"/>
        <v>0.03296703297</v>
      </c>
      <c r="AA80" s="13">
        <f t="shared" si="4"/>
        <v>0</v>
      </c>
      <c r="AB80" s="13">
        <f t="shared" si="5"/>
        <v>9</v>
      </c>
      <c r="AC80" s="116">
        <f t="shared" si="6"/>
        <v>0.03296703297</v>
      </c>
    </row>
    <row r="81">
      <c r="A81" s="2" t="s">
        <v>406</v>
      </c>
      <c r="B81" s="2">
        <v>1100.0</v>
      </c>
      <c r="D81" s="2">
        <v>14.0</v>
      </c>
      <c r="H81" s="119">
        <f t="shared" si="1"/>
        <v>154</v>
      </c>
      <c r="I81" s="2">
        <v>5.0</v>
      </c>
      <c r="Q81" s="13">
        <f t="shared" si="2"/>
        <v>5</v>
      </c>
      <c r="R81" s="116">
        <f t="shared" si="3"/>
        <v>0.03246753247</v>
      </c>
      <c r="AA81" s="13">
        <f t="shared" si="4"/>
        <v>0</v>
      </c>
      <c r="AB81" s="13">
        <f t="shared" si="5"/>
        <v>5</v>
      </c>
      <c r="AC81" s="116">
        <f t="shared" si="6"/>
        <v>0.03246753247</v>
      </c>
    </row>
    <row r="82">
      <c r="A82" s="115" t="s">
        <v>407</v>
      </c>
      <c r="B82" s="2">
        <v>558.0</v>
      </c>
      <c r="D82" s="2">
        <v>74.6</v>
      </c>
      <c r="H82" s="119">
        <f t="shared" si="1"/>
        <v>416.268</v>
      </c>
      <c r="I82" s="2">
        <v>6.0</v>
      </c>
      <c r="Q82" s="13">
        <f t="shared" si="2"/>
        <v>6</v>
      </c>
      <c r="R82" s="116">
        <f t="shared" si="3"/>
        <v>0.01441379112</v>
      </c>
      <c r="AA82" s="13">
        <f t="shared" si="4"/>
        <v>0</v>
      </c>
      <c r="AB82" s="13">
        <f t="shared" si="5"/>
        <v>6</v>
      </c>
      <c r="AC82" s="116">
        <f t="shared" si="6"/>
        <v>0.01441379112</v>
      </c>
    </row>
    <row r="83">
      <c r="H83" s="14"/>
      <c r="R83" s="116"/>
      <c r="AC83" s="116"/>
    </row>
    <row r="84">
      <c r="H84" s="14"/>
      <c r="R84" s="116"/>
      <c r="AC84" s="116"/>
    </row>
    <row r="85">
      <c r="H85" s="14"/>
      <c r="R85" s="116"/>
      <c r="AC85" s="116"/>
    </row>
    <row r="86">
      <c r="H86" s="14"/>
      <c r="R86" s="116"/>
      <c r="AC86" s="116"/>
    </row>
    <row r="87">
      <c r="H87" s="14"/>
      <c r="R87" s="116"/>
      <c r="AC87" s="116"/>
    </row>
    <row r="88">
      <c r="H88" s="14"/>
      <c r="R88" s="116"/>
      <c r="AC88" s="116"/>
    </row>
    <row r="89">
      <c r="H89" s="14"/>
      <c r="R89" s="116"/>
      <c r="AC89" s="116"/>
    </row>
    <row r="90">
      <c r="H90" s="14"/>
      <c r="R90" s="116"/>
      <c r="AC90" s="116"/>
    </row>
    <row r="91">
      <c r="H91" s="14"/>
      <c r="R91" s="116"/>
      <c r="AC91" s="116"/>
    </row>
    <row r="92">
      <c r="H92" s="14"/>
      <c r="R92" s="116"/>
      <c r="AC92" s="116"/>
    </row>
    <row r="93">
      <c r="H93" s="14"/>
      <c r="R93" s="116"/>
      <c r="AC93" s="116"/>
    </row>
    <row r="94">
      <c r="H94" s="14"/>
      <c r="R94" s="116"/>
      <c r="AC94" s="116"/>
    </row>
    <row r="95">
      <c r="H95" s="14"/>
      <c r="R95" s="116"/>
      <c r="AC95" s="116"/>
    </row>
    <row r="96">
      <c r="H96" s="14"/>
      <c r="R96" s="116"/>
      <c r="AC96" s="116"/>
    </row>
    <row r="97">
      <c r="H97" s="14"/>
      <c r="R97" s="116"/>
      <c r="AC97" s="116"/>
    </row>
    <row r="98">
      <c r="H98" s="14"/>
      <c r="R98" s="116"/>
      <c r="AC98" s="116"/>
    </row>
    <row r="99">
      <c r="H99" s="14"/>
      <c r="R99" s="116"/>
      <c r="AC99" s="116"/>
    </row>
    <row r="100">
      <c r="H100" s="14"/>
      <c r="R100" s="116"/>
      <c r="AC100" s="116"/>
    </row>
    <row r="101">
      <c r="H101" s="14"/>
      <c r="R101" s="116"/>
      <c r="AC101" s="116"/>
    </row>
    <row r="102">
      <c r="H102" s="14"/>
      <c r="R102" s="116"/>
      <c r="AC102" s="116"/>
    </row>
    <row r="103">
      <c r="H103" s="14"/>
      <c r="R103" s="116"/>
      <c r="AC103" s="116"/>
    </row>
    <row r="104">
      <c r="H104" s="14"/>
      <c r="R104" s="116"/>
      <c r="AC104" s="116"/>
    </row>
    <row r="105">
      <c r="H105" s="14"/>
      <c r="R105" s="116"/>
      <c r="AC105" s="116"/>
    </row>
    <row r="106">
      <c r="H106" s="14"/>
      <c r="R106" s="116"/>
      <c r="AC106" s="116"/>
    </row>
    <row r="107">
      <c r="H107" s="14"/>
      <c r="R107" s="116"/>
      <c r="AC107" s="116"/>
    </row>
    <row r="108">
      <c r="H108" s="14"/>
      <c r="R108" s="116"/>
      <c r="AC108" s="116"/>
    </row>
    <row r="109">
      <c r="H109" s="14"/>
      <c r="R109" s="116"/>
      <c r="AC109" s="116"/>
    </row>
    <row r="110">
      <c r="H110" s="14"/>
      <c r="R110" s="116"/>
      <c r="AC110" s="116"/>
    </row>
    <row r="111">
      <c r="H111" s="14"/>
      <c r="R111" s="116"/>
      <c r="AC111" s="116"/>
    </row>
    <row r="112">
      <c r="H112" s="14"/>
      <c r="R112" s="116"/>
      <c r="AC112" s="116"/>
    </row>
    <row r="113">
      <c r="H113" s="14"/>
      <c r="R113" s="116"/>
      <c r="AC113" s="116"/>
    </row>
    <row r="114">
      <c r="H114" s="14"/>
      <c r="R114" s="116"/>
      <c r="AC114" s="116"/>
    </row>
    <row r="115">
      <c r="H115" s="14"/>
      <c r="R115" s="116"/>
      <c r="AC115" s="116"/>
    </row>
    <row r="116">
      <c r="H116" s="14"/>
      <c r="R116" s="116"/>
      <c r="AC116" s="116"/>
    </row>
    <row r="117">
      <c r="H117" s="14"/>
      <c r="R117" s="116"/>
      <c r="AC117" s="116"/>
    </row>
    <row r="118">
      <c r="H118" s="14"/>
      <c r="R118" s="116"/>
      <c r="AC118" s="116"/>
    </row>
    <row r="119">
      <c r="H119" s="14"/>
      <c r="R119" s="116"/>
      <c r="AC119" s="116"/>
    </row>
    <row r="120">
      <c r="H120" s="14"/>
      <c r="R120" s="116"/>
      <c r="AC120" s="116"/>
    </row>
    <row r="121">
      <c r="H121" s="14"/>
      <c r="R121" s="116"/>
      <c r="AC121" s="116"/>
    </row>
    <row r="122">
      <c r="H122" s="14"/>
      <c r="R122" s="116"/>
      <c r="AC122" s="116"/>
    </row>
    <row r="123">
      <c r="H123" s="14"/>
      <c r="R123" s="116"/>
      <c r="AC123" s="116"/>
    </row>
    <row r="124">
      <c r="H124" s="14"/>
      <c r="R124" s="116"/>
      <c r="AC124" s="116"/>
    </row>
    <row r="125">
      <c r="H125" s="14"/>
      <c r="R125" s="116"/>
      <c r="AC125" s="116"/>
    </row>
    <row r="126">
      <c r="H126" s="14"/>
      <c r="R126" s="116"/>
      <c r="AC126" s="116"/>
    </row>
    <row r="127">
      <c r="H127" s="14"/>
      <c r="R127" s="116"/>
      <c r="AC127" s="116"/>
    </row>
    <row r="128">
      <c r="H128" s="14"/>
      <c r="R128" s="116"/>
      <c r="AC128" s="116"/>
    </row>
    <row r="129">
      <c r="H129" s="14"/>
      <c r="R129" s="116"/>
      <c r="AC129" s="116"/>
    </row>
    <row r="130">
      <c r="H130" s="14"/>
      <c r="R130" s="116"/>
      <c r="AC130" s="116"/>
    </row>
    <row r="131">
      <c r="H131" s="14"/>
      <c r="R131" s="116"/>
      <c r="AC131" s="116"/>
    </row>
    <row r="132">
      <c r="H132" s="14"/>
      <c r="R132" s="116"/>
      <c r="AC132" s="116"/>
    </row>
    <row r="133">
      <c r="H133" s="14"/>
      <c r="R133" s="116"/>
      <c r="AC133" s="116"/>
    </row>
    <row r="134">
      <c r="H134" s="14"/>
      <c r="R134" s="116"/>
      <c r="AC134" s="116"/>
    </row>
    <row r="135">
      <c r="H135" s="14"/>
      <c r="R135" s="116"/>
      <c r="AC135" s="116"/>
    </row>
    <row r="136">
      <c r="H136" s="14"/>
      <c r="R136" s="116"/>
      <c r="AC136" s="116"/>
    </row>
    <row r="137">
      <c r="H137" s="14"/>
      <c r="R137" s="116"/>
      <c r="AC137" s="116"/>
    </row>
    <row r="138">
      <c r="H138" s="14"/>
      <c r="R138" s="116"/>
      <c r="AC138" s="116"/>
    </row>
    <row r="139">
      <c r="H139" s="14"/>
      <c r="R139" s="116"/>
      <c r="AC139" s="116"/>
    </row>
    <row r="140">
      <c r="H140" s="14"/>
      <c r="R140" s="116"/>
      <c r="AC140" s="116"/>
    </row>
    <row r="141">
      <c r="H141" s="14"/>
      <c r="R141" s="116"/>
      <c r="AC141" s="116"/>
    </row>
    <row r="142">
      <c r="H142" s="14"/>
      <c r="R142" s="116"/>
      <c r="AC142" s="116"/>
    </row>
    <row r="143">
      <c r="H143" s="14"/>
      <c r="R143" s="116"/>
      <c r="AC143" s="116"/>
    </row>
    <row r="144">
      <c r="H144" s="14"/>
      <c r="R144" s="116"/>
      <c r="AC144" s="116"/>
    </row>
    <row r="145">
      <c r="H145" s="14"/>
      <c r="R145" s="116"/>
      <c r="AC145" s="116"/>
    </row>
    <row r="146">
      <c r="H146" s="14"/>
      <c r="R146" s="116"/>
      <c r="AC146" s="116"/>
    </row>
    <row r="147">
      <c r="H147" s="14"/>
      <c r="R147" s="116"/>
      <c r="AC147" s="116"/>
    </row>
    <row r="148">
      <c r="H148" s="14"/>
      <c r="R148" s="116"/>
      <c r="AC148" s="116"/>
    </row>
    <row r="149">
      <c r="H149" s="14"/>
      <c r="R149" s="116"/>
      <c r="AC149" s="116"/>
    </row>
    <row r="150">
      <c r="H150" s="14"/>
      <c r="R150" s="116"/>
      <c r="AC150" s="116"/>
    </row>
    <row r="151">
      <c r="H151" s="14"/>
      <c r="R151" s="116"/>
      <c r="AC151" s="116"/>
    </row>
    <row r="152">
      <c r="H152" s="14"/>
      <c r="R152" s="116"/>
      <c r="AC152" s="116"/>
    </row>
    <row r="153">
      <c r="H153" s="14"/>
      <c r="R153" s="116"/>
      <c r="AC153" s="116"/>
    </row>
    <row r="154">
      <c r="H154" s="14"/>
      <c r="R154" s="116"/>
      <c r="AC154" s="116"/>
    </row>
    <row r="155">
      <c r="H155" s="14"/>
      <c r="R155" s="116"/>
      <c r="AC155" s="116"/>
    </row>
    <row r="156">
      <c r="H156" s="14"/>
      <c r="R156" s="116"/>
      <c r="AC156" s="116"/>
    </row>
    <row r="157">
      <c r="H157" s="14"/>
      <c r="R157" s="116"/>
      <c r="AC157" s="116"/>
    </row>
    <row r="158">
      <c r="H158" s="14"/>
      <c r="R158" s="116"/>
      <c r="AC158" s="116"/>
    </row>
    <row r="159">
      <c r="H159" s="14"/>
      <c r="R159" s="116"/>
      <c r="AC159" s="116"/>
    </row>
    <row r="160">
      <c r="H160" s="14"/>
      <c r="R160" s="116"/>
      <c r="AC160" s="116"/>
    </row>
    <row r="161">
      <c r="H161" s="14"/>
      <c r="R161" s="116"/>
      <c r="AC161" s="116"/>
    </row>
    <row r="162">
      <c r="H162" s="14"/>
      <c r="R162" s="116"/>
      <c r="AC162" s="116"/>
    </row>
    <row r="163">
      <c r="H163" s="14"/>
      <c r="R163" s="116"/>
      <c r="AC163" s="116"/>
    </row>
    <row r="164">
      <c r="H164" s="14"/>
      <c r="R164" s="116"/>
      <c r="AC164" s="116"/>
    </row>
    <row r="165">
      <c r="H165" s="14"/>
      <c r="R165" s="116"/>
      <c r="AC165" s="116"/>
    </row>
    <row r="166">
      <c r="H166" s="14"/>
      <c r="R166" s="116"/>
      <c r="AC166" s="116"/>
    </row>
    <row r="167">
      <c r="H167" s="14"/>
      <c r="R167" s="116"/>
      <c r="AC167" s="116"/>
    </row>
    <row r="168">
      <c r="H168" s="14"/>
      <c r="R168" s="116"/>
      <c r="AC168" s="116"/>
    </row>
    <row r="169">
      <c r="H169" s="14"/>
      <c r="R169" s="116"/>
      <c r="AC169" s="116"/>
    </row>
    <row r="170">
      <c r="H170" s="14"/>
      <c r="R170" s="116"/>
      <c r="AC170" s="116"/>
    </row>
    <row r="171">
      <c r="H171" s="14"/>
      <c r="R171" s="116"/>
      <c r="AC171" s="116"/>
    </row>
    <row r="172">
      <c r="H172" s="14"/>
      <c r="R172" s="116"/>
      <c r="AC172" s="116"/>
    </row>
    <row r="173">
      <c r="H173" s="14"/>
      <c r="R173" s="116"/>
      <c r="AC173" s="116"/>
    </row>
    <row r="174">
      <c r="H174" s="14"/>
      <c r="R174" s="116"/>
      <c r="AC174" s="116"/>
    </row>
    <row r="175">
      <c r="H175" s="14"/>
      <c r="R175" s="116"/>
      <c r="AC175" s="116"/>
    </row>
    <row r="176">
      <c r="H176" s="14"/>
      <c r="R176" s="116"/>
      <c r="AC176" s="116"/>
    </row>
    <row r="177">
      <c r="H177" s="14"/>
      <c r="R177" s="116"/>
      <c r="AC177" s="116"/>
    </row>
    <row r="178">
      <c r="H178" s="14"/>
      <c r="R178" s="116"/>
      <c r="AC178" s="116"/>
    </row>
    <row r="179">
      <c r="H179" s="14"/>
      <c r="R179" s="116"/>
      <c r="AC179" s="116"/>
    </row>
    <row r="180">
      <c r="H180" s="14"/>
      <c r="R180" s="116"/>
      <c r="AC180" s="116"/>
    </row>
    <row r="181">
      <c r="H181" s="14"/>
      <c r="R181" s="116"/>
      <c r="AC181" s="116"/>
    </row>
    <row r="182">
      <c r="H182" s="14"/>
      <c r="R182" s="116"/>
      <c r="AC182" s="116"/>
    </row>
    <row r="183">
      <c r="H183" s="14"/>
      <c r="R183" s="116"/>
      <c r="AC183" s="116"/>
    </row>
    <row r="184">
      <c r="H184" s="14"/>
      <c r="R184" s="116"/>
      <c r="AC184" s="116"/>
    </row>
    <row r="185">
      <c r="H185" s="14"/>
      <c r="R185" s="116"/>
      <c r="AC185" s="116"/>
    </row>
    <row r="186">
      <c r="H186" s="14"/>
      <c r="R186" s="116"/>
      <c r="AC186" s="116"/>
    </row>
    <row r="187">
      <c r="H187" s="14"/>
      <c r="R187" s="116"/>
      <c r="AC187" s="116"/>
    </row>
    <row r="188">
      <c r="H188" s="14"/>
      <c r="R188" s="116"/>
      <c r="AC188" s="116"/>
    </row>
    <row r="189">
      <c r="H189" s="14"/>
      <c r="R189" s="116"/>
      <c r="AC189" s="116"/>
    </row>
    <row r="190">
      <c r="H190" s="14"/>
      <c r="R190" s="116"/>
      <c r="AC190" s="116"/>
    </row>
    <row r="191">
      <c r="H191" s="14"/>
      <c r="R191" s="116"/>
      <c r="AC191" s="116"/>
    </row>
    <row r="192">
      <c r="H192" s="14"/>
      <c r="R192" s="116"/>
      <c r="AC192" s="116"/>
    </row>
    <row r="193">
      <c r="H193" s="14"/>
      <c r="R193" s="116"/>
      <c r="AC193" s="116"/>
    </row>
    <row r="194">
      <c r="H194" s="14"/>
      <c r="R194" s="116"/>
      <c r="AC194" s="116"/>
    </row>
    <row r="195">
      <c r="H195" s="14"/>
      <c r="R195" s="116"/>
      <c r="AC195" s="116"/>
    </row>
    <row r="196">
      <c r="H196" s="14"/>
      <c r="R196" s="116"/>
      <c r="AC196" s="116"/>
    </row>
    <row r="197">
      <c r="H197" s="14"/>
      <c r="R197" s="116"/>
      <c r="AC197" s="116"/>
    </row>
    <row r="198">
      <c r="H198" s="14"/>
      <c r="R198" s="116"/>
      <c r="AC198" s="116"/>
    </row>
    <row r="199">
      <c r="H199" s="14"/>
      <c r="R199" s="116"/>
      <c r="AC199" s="116"/>
    </row>
    <row r="200">
      <c r="H200" s="14"/>
      <c r="R200" s="116"/>
      <c r="AC200" s="116"/>
    </row>
    <row r="201">
      <c r="H201" s="14"/>
      <c r="R201" s="116"/>
      <c r="AC201" s="116"/>
    </row>
    <row r="202">
      <c r="H202" s="14"/>
      <c r="R202" s="116"/>
      <c r="AC202" s="116"/>
    </row>
    <row r="203">
      <c r="H203" s="14"/>
      <c r="R203" s="116"/>
      <c r="AC203" s="116"/>
    </row>
    <row r="204">
      <c r="H204" s="14"/>
      <c r="R204" s="116"/>
      <c r="AC204" s="116"/>
    </row>
    <row r="205">
      <c r="H205" s="14"/>
      <c r="R205" s="116"/>
      <c r="AC205" s="116"/>
    </row>
    <row r="206">
      <c r="H206" s="14"/>
      <c r="R206" s="116"/>
      <c r="AC206" s="116"/>
    </row>
    <row r="207">
      <c r="H207" s="14"/>
      <c r="R207" s="116"/>
      <c r="AC207" s="116"/>
    </row>
    <row r="208">
      <c r="H208" s="14"/>
      <c r="R208" s="116"/>
      <c r="AC208" s="116"/>
    </row>
    <row r="209">
      <c r="H209" s="14"/>
      <c r="R209" s="116"/>
      <c r="AC209" s="116"/>
    </row>
    <row r="210">
      <c r="H210" s="14"/>
      <c r="R210" s="116"/>
      <c r="AC210" s="116"/>
    </row>
    <row r="211">
      <c r="H211" s="14"/>
      <c r="R211" s="116"/>
      <c r="AC211" s="116"/>
    </row>
    <row r="212">
      <c r="H212" s="14"/>
      <c r="R212" s="116"/>
      <c r="AC212" s="116"/>
    </row>
    <row r="213">
      <c r="H213" s="14"/>
      <c r="R213" s="116"/>
      <c r="AC213" s="116"/>
    </row>
    <row r="214">
      <c r="H214" s="14"/>
      <c r="R214" s="116"/>
      <c r="AC214" s="116"/>
    </row>
    <row r="215">
      <c r="H215" s="14"/>
      <c r="R215" s="116"/>
      <c r="AC215" s="116"/>
    </row>
    <row r="216">
      <c r="H216" s="14"/>
      <c r="R216" s="116"/>
      <c r="AC216" s="116"/>
    </row>
    <row r="217">
      <c r="H217" s="14"/>
      <c r="R217" s="116"/>
      <c r="AC217" s="116"/>
    </row>
    <row r="218">
      <c r="H218" s="14"/>
      <c r="R218" s="116"/>
      <c r="AC218" s="116"/>
    </row>
    <row r="219">
      <c r="H219" s="14"/>
      <c r="R219" s="116"/>
      <c r="AC219" s="116"/>
    </row>
    <row r="220">
      <c r="H220" s="14"/>
      <c r="R220" s="116"/>
      <c r="AC220" s="116"/>
    </row>
    <row r="221">
      <c r="H221" s="14"/>
      <c r="R221" s="116"/>
      <c r="AC221" s="116"/>
    </row>
    <row r="222">
      <c r="H222" s="14"/>
      <c r="R222" s="116"/>
      <c r="AC222" s="116"/>
    </row>
    <row r="223">
      <c r="H223" s="14"/>
      <c r="R223" s="116"/>
      <c r="AC223" s="116"/>
    </row>
    <row r="224">
      <c r="H224" s="14"/>
      <c r="R224" s="116"/>
      <c r="AC224" s="116"/>
    </row>
    <row r="225">
      <c r="H225" s="14"/>
      <c r="R225" s="116"/>
      <c r="AC225" s="116"/>
    </row>
    <row r="226">
      <c r="H226" s="14"/>
      <c r="R226" s="116"/>
      <c r="AC226" s="116"/>
    </row>
    <row r="227">
      <c r="H227" s="14"/>
      <c r="R227" s="116"/>
      <c r="AC227" s="116"/>
    </row>
    <row r="228">
      <c r="H228" s="14"/>
      <c r="R228" s="116"/>
      <c r="AC228" s="116"/>
    </row>
    <row r="229">
      <c r="H229" s="14"/>
      <c r="R229" s="116"/>
      <c r="AC229" s="116"/>
    </row>
    <row r="230">
      <c r="H230" s="14"/>
      <c r="R230" s="116"/>
      <c r="AC230" s="116"/>
    </row>
    <row r="231">
      <c r="H231" s="14"/>
      <c r="R231" s="116"/>
      <c r="AC231" s="116"/>
    </row>
    <row r="232">
      <c r="H232" s="14"/>
      <c r="R232" s="116"/>
      <c r="AC232" s="116"/>
    </row>
    <row r="233">
      <c r="H233" s="14"/>
      <c r="R233" s="116"/>
      <c r="AC233" s="116"/>
    </row>
    <row r="234">
      <c r="H234" s="14"/>
      <c r="R234" s="116"/>
      <c r="AC234" s="116"/>
    </row>
    <row r="235">
      <c r="H235" s="14"/>
      <c r="R235" s="116"/>
      <c r="AC235" s="116"/>
    </row>
    <row r="236">
      <c r="H236" s="14"/>
      <c r="R236" s="116"/>
      <c r="AC236" s="116"/>
    </row>
    <row r="237">
      <c r="H237" s="14"/>
      <c r="R237" s="116"/>
      <c r="AC237" s="116"/>
    </row>
    <row r="238">
      <c r="H238" s="14"/>
      <c r="R238" s="116"/>
      <c r="AC238" s="116"/>
    </row>
    <row r="239">
      <c r="H239" s="14"/>
      <c r="R239" s="116"/>
      <c r="AC239" s="116"/>
    </row>
    <row r="240">
      <c r="H240" s="14"/>
      <c r="R240" s="116"/>
      <c r="AC240" s="116"/>
    </row>
    <row r="241">
      <c r="H241" s="14"/>
      <c r="R241" s="116"/>
      <c r="AC241" s="116"/>
    </row>
    <row r="242">
      <c r="H242" s="14"/>
      <c r="R242" s="116"/>
      <c r="AC242" s="116"/>
    </row>
    <row r="243">
      <c r="H243" s="14"/>
      <c r="R243" s="116"/>
      <c r="AC243" s="116"/>
    </row>
    <row r="244">
      <c r="H244" s="14"/>
      <c r="R244" s="116"/>
      <c r="AC244" s="116"/>
    </row>
    <row r="245">
      <c r="H245" s="14"/>
      <c r="R245" s="116"/>
      <c r="AC245" s="116"/>
    </row>
    <row r="246">
      <c r="H246" s="14"/>
      <c r="R246" s="116"/>
      <c r="AC246" s="116"/>
    </row>
    <row r="247">
      <c r="H247" s="14"/>
      <c r="R247" s="116"/>
      <c r="AC247" s="116"/>
    </row>
    <row r="248">
      <c r="H248" s="14"/>
      <c r="R248" s="116"/>
      <c r="AC248" s="116"/>
    </row>
    <row r="249">
      <c r="H249" s="14"/>
      <c r="R249" s="116"/>
      <c r="AC249" s="116"/>
    </row>
    <row r="250">
      <c r="H250" s="14"/>
      <c r="R250" s="116"/>
      <c r="AC250" s="116"/>
    </row>
    <row r="251">
      <c r="H251" s="14"/>
      <c r="R251" s="116"/>
      <c r="AC251" s="116"/>
    </row>
    <row r="252">
      <c r="H252" s="14"/>
      <c r="R252" s="116"/>
      <c r="AC252" s="116"/>
    </row>
    <row r="253">
      <c r="H253" s="14"/>
      <c r="R253" s="116"/>
      <c r="AC253" s="116"/>
    </row>
    <row r="254">
      <c r="H254" s="14"/>
      <c r="R254" s="116"/>
      <c r="AC254" s="116"/>
    </row>
    <row r="255">
      <c r="H255" s="14"/>
      <c r="R255" s="116"/>
      <c r="AC255" s="116"/>
    </row>
    <row r="256">
      <c r="H256" s="14"/>
      <c r="R256" s="116"/>
      <c r="AC256" s="116"/>
    </row>
    <row r="257">
      <c r="H257" s="14"/>
      <c r="R257" s="116"/>
      <c r="AC257" s="116"/>
    </row>
    <row r="258">
      <c r="H258" s="14"/>
      <c r="R258" s="116"/>
      <c r="AC258" s="116"/>
    </row>
    <row r="259">
      <c r="H259" s="14"/>
      <c r="R259" s="116"/>
      <c r="AC259" s="116"/>
    </row>
    <row r="260">
      <c r="H260" s="14"/>
      <c r="R260" s="116"/>
      <c r="AC260" s="116"/>
    </row>
    <row r="261">
      <c r="H261" s="14"/>
      <c r="R261" s="116"/>
      <c r="AC261" s="116"/>
    </row>
    <row r="262">
      <c r="H262" s="14"/>
      <c r="R262" s="116"/>
      <c r="AC262" s="116"/>
    </row>
    <row r="263">
      <c r="H263" s="14"/>
      <c r="R263" s="116"/>
      <c r="AC263" s="116"/>
    </row>
    <row r="264">
      <c r="H264" s="14"/>
      <c r="R264" s="116"/>
      <c r="AC264" s="116"/>
    </row>
    <row r="265">
      <c r="H265" s="14"/>
      <c r="R265" s="116"/>
      <c r="AC265" s="116"/>
    </row>
    <row r="266">
      <c r="H266" s="14"/>
      <c r="R266" s="116"/>
      <c r="AC266" s="116"/>
    </row>
    <row r="267">
      <c r="H267" s="14"/>
      <c r="R267" s="116"/>
      <c r="AC267" s="116"/>
    </row>
    <row r="268">
      <c r="H268" s="14"/>
      <c r="R268" s="116"/>
      <c r="AC268" s="116"/>
    </row>
    <row r="269">
      <c r="H269" s="14"/>
      <c r="R269" s="116"/>
      <c r="AC269" s="116"/>
    </row>
    <row r="270">
      <c r="H270" s="14"/>
      <c r="R270" s="116"/>
      <c r="AC270" s="116"/>
    </row>
    <row r="271">
      <c r="H271" s="14"/>
      <c r="R271" s="116"/>
      <c r="AC271" s="116"/>
    </row>
    <row r="272">
      <c r="H272" s="14"/>
      <c r="R272" s="116"/>
      <c r="AC272" s="116"/>
    </row>
    <row r="273">
      <c r="H273" s="14"/>
      <c r="R273" s="116"/>
      <c r="AC273" s="116"/>
    </row>
    <row r="274">
      <c r="H274" s="14"/>
      <c r="R274" s="116"/>
      <c r="AC274" s="116"/>
    </row>
    <row r="275">
      <c r="H275" s="14"/>
      <c r="R275" s="116"/>
      <c r="AC275" s="116"/>
    </row>
    <row r="276">
      <c r="H276" s="14"/>
      <c r="R276" s="116"/>
      <c r="AC276" s="116"/>
    </row>
    <row r="277">
      <c r="H277" s="14"/>
      <c r="R277" s="116"/>
      <c r="AC277" s="116"/>
    </row>
    <row r="278">
      <c r="H278" s="14"/>
      <c r="R278" s="116"/>
      <c r="AC278" s="116"/>
    </row>
    <row r="279">
      <c r="H279" s="14"/>
      <c r="R279" s="116"/>
      <c r="AC279" s="116"/>
    </row>
    <row r="280">
      <c r="H280" s="14"/>
      <c r="R280" s="116"/>
      <c r="AC280" s="116"/>
    </row>
    <row r="281">
      <c r="H281" s="14"/>
      <c r="R281" s="116"/>
      <c r="AC281" s="116"/>
    </row>
    <row r="282">
      <c r="H282" s="14"/>
      <c r="R282" s="116"/>
      <c r="AC282" s="116"/>
    </row>
    <row r="283">
      <c r="H283" s="14"/>
      <c r="R283" s="116"/>
      <c r="AC283" s="116"/>
    </row>
    <row r="284">
      <c r="H284" s="14"/>
      <c r="R284" s="116"/>
      <c r="AC284" s="116"/>
    </row>
    <row r="285">
      <c r="H285" s="14"/>
      <c r="R285" s="116"/>
      <c r="AC285" s="116"/>
    </row>
    <row r="286">
      <c r="H286" s="14"/>
      <c r="R286" s="116"/>
      <c r="AC286" s="116"/>
    </row>
    <row r="287">
      <c r="H287" s="14"/>
      <c r="R287" s="116"/>
      <c r="AC287" s="116"/>
    </row>
    <row r="288">
      <c r="H288" s="14"/>
      <c r="R288" s="116"/>
      <c r="AC288" s="116"/>
    </row>
    <row r="289">
      <c r="H289" s="14"/>
      <c r="R289" s="116"/>
      <c r="AC289" s="116"/>
    </row>
    <row r="290">
      <c r="H290" s="14"/>
      <c r="R290" s="116"/>
      <c r="AC290" s="116"/>
    </row>
    <row r="291">
      <c r="H291" s="14"/>
      <c r="R291" s="116"/>
      <c r="AC291" s="116"/>
    </row>
    <row r="292">
      <c r="H292" s="14"/>
      <c r="R292" s="116"/>
      <c r="AC292" s="116"/>
    </row>
    <row r="293">
      <c r="H293" s="14"/>
      <c r="R293" s="116"/>
      <c r="AC293" s="116"/>
    </row>
    <row r="294">
      <c r="H294" s="14"/>
      <c r="R294" s="116"/>
      <c r="AC294" s="116"/>
    </row>
    <row r="295">
      <c r="H295" s="14"/>
      <c r="R295" s="116"/>
      <c r="AC295" s="116"/>
    </row>
    <row r="296">
      <c r="H296" s="14"/>
      <c r="R296" s="116"/>
      <c r="AC296" s="116"/>
    </row>
    <row r="297">
      <c r="H297" s="14"/>
      <c r="R297" s="116"/>
      <c r="AC297" s="116"/>
    </row>
    <row r="298">
      <c r="H298" s="14"/>
      <c r="R298" s="116"/>
      <c r="AC298" s="116"/>
    </row>
    <row r="299">
      <c r="H299" s="14"/>
      <c r="R299" s="116"/>
      <c r="AC299" s="116"/>
    </row>
    <row r="300">
      <c r="H300" s="14"/>
      <c r="R300" s="116"/>
      <c r="AC300" s="116"/>
    </row>
    <row r="301">
      <c r="H301" s="14"/>
      <c r="R301" s="116"/>
      <c r="AC301" s="116"/>
    </row>
    <row r="302">
      <c r="H302" s="14"/>
      <c r="R302" s="116"/>
      <c r="AC302" s="116"/>
    </row>
    <row r="303">
      <c r="H303" s="14"/>
      <c r="R303" s="116"/>
      <c r="AC303" s="116"/>
    </row>
    <row r="304">
      <c r="H304" s="14"/>
      <c r="R304" s="116"/>
      <c r="AC304" s="116"/>
    </row>
    <row r="305">
      <c r="H305" s="14"/>
      <c r="R305" s="116"/>
      <c r="AC305" s="116"/>
    </row>
    <row r="306">
      <c r="H306" s="14"/>
      <c r="R306" s="116"/>
      <c r="AC306" s="116"/>
    </row>
    <row r="307">
      <c r="H307" s="14"/>
      <c r="R307" s="116"/>
      <c r="AC307" s="116"/>
    </row>
    <row r="308">
      <c r="H308" s="14"/>
      <c r="R308" s="116"/>
      <c r="AC308" s="116"/>
    </row>
    <row r="309">
      <c r="H309" s="14"/>
      <c r="R309" s="116"/>
      <c r="AC309" s="116"/>
    </row>
    <row r="310">
      <c r="H310" s="14"/>
      <c r="R310" s="116"/>
      <c r="AC310" s="116"/>
    </row>
    <row r="311">
      <c r="H311" s="14"/>
      <c r="R311" s="116"/>
      <c r="AC311" s="116"/>
    </row>
    <row r="312">
      <c r="H312" s="14"/>
      <c r="R312" s="116"/>
      <c r="AC312" s="116"/>
    </row>
    <row r="313">
      <c r="H313" s="14"/>
      <c r="R313" s="116"/>
      <c r="AC313" s="116"/>
    </row>
    <row r="314">
      <c r="H314" s="14"/>
      <c r="R314" s="116"/>
      <c r="AC314" s="116"/>
    </row>
    <row r="315">
      <c r="H315" s="14"/>
      <c r="R315" s="116"/>
      <c r="AC315" s="116"/>
    </row>
    <row r="316">
      <c r="H316" s="14"/>
      <c r="R316" s="116"/>
      <c r="AC316" s="116"/>
    </row>
    <row r="317">
      <c r="H317" s="14"/>
      <c r="R317" s="116"/>
      <c r="AC317" s="116"/>
    </row>
    <row r="318">
      <c r="H318" s="14"/>
      <c r="R318" s="116"/>
      <c r="AC318" s="116"/>
    </row>
    <row r="319">
      <c r="H319" s="14"/>
      <c r="R319" s="116"/>
      <c r="AC319" s="116"/>
    </row>
    <row r="320">
      <c r="H320" s="14"/>
      <c r="R320" s="116"/>
      <c r="AC320" s="116"/>
    </row>
    <row r="321">
      <c r="H321" s="14"/>
      <c r="R321" s="116"/>
      <c r="AC321" s="116"/>
    </row>
    <row r="322">
      <c r="H322" s="14"/>
      <c r="R322" s="116"/>
      <c r="AC322" s="116"/>
    </row>
    <row r="323">
      <c r="H323" s="14"/>
      <c r="R323" s="116"/>
      <c r="AC323" s="116"/>
    </row>
    <row r="324">
      <c r="H324" s="14"/>
      <c r="R324" s="116"/>
      <c r="AC324" s="116"/>
    </row>
    <row r="325">
      <c r="H325" s="14"/>
      <c r="R325" s="116"/>
      <c r="AC325" s="116"/>
    </row>
    <row r="326">
      <c r="H326" s="14"/>
      <c r="R326" s="116"/>
      <c r="AC326" s="116"/>
    </row>
    <row r="327">
      <c r="H327" s="14"/>
      <c r="R327" s="116"/>
      <c r="AC327" s="116"/>
    </row>
    <row r="328">
      <c r="H328" s="14"/>
      <c r="R328" s="116"/>
      <c r="AC328" s="116"/>
    </row>
    <row r="329">
      <c r="H329" s="14"/>
      <c r="R329" s="116"/>
      <c r="AC329" s="116"/>
    </row>
    <row r="330">
      <c r="H330" s="14"/>
      <c r="R330" s="116"/>
      <c r="AC330" s="116"/>
    </row>
    <row r="331">
      <c r="H331" s="14"/>
      <c r="R331" s="116"/>
      <c r="AC331" s="116"/>
    </row>
    <row r="332">
      <c r="H332" s="14"/>
      <c r="R332" s="116"/>
      <c r="AC332" s="116"/>
    </row>
    <row r="333">
      <c r="H333" s="14"/>
      <c r="R333" s="116"/>
      <c r="AC333" s="116"/>
    </row>
    <row r="334">
      <c r="H334" s="14"/>
      <c r="R334" s="116"/>
      <c r="AC334" s="116"/>
    </row>
    <row r="335">
      <c r="H335" s="14"/>
      <c r="R335" s="116"/>
      <c r="AC335" s="116"/>
    </row>
    <row r="336">
      <c r="H336" s="14"/>
      <c r="R336" s="116"/>
      <c r="AC336" s="116"/>
    </row>
    <row r="337">
      <c r="H337" s="14"/>
      <c r="R337" s="116"/>
      <c r="AC337" s="116"/>
    </row>
    <row r="338">
      <c r="H338" s="14"/>
      <c r="R338" s="116"/>
      <c r="AC338" s="116"/>
    </row>
    <row r="339">
      <c r="H339" s="14"/>
      <c r="R339" s="116"/>
      <c r="AC339" s="116"/>
    </row>
    <row r="340">
      <c r="H340" s="14"/>
      <c r="R340" s="116"/>
      <c r="AC340" s="116"/>
    </row>
    <row r="341">
      <c r="H341" s="14"/>
      <c r="R341" s="116"/>
      <c r="AC341" s="116"/>
    </row>
    <row r="342">
      <c r="H342" s="14"/>
      <c r="R342" s="116"/>
      <c r="AC342" s="116"/>
    </row>
    <row r="343">
      <c r="H343" s="14"/>
      <c r="R343" s="116"/>
      <c r="AC343" s="116"/>
    </row>
    <row r="344">
      <c r="H344" s="14"/>
      <c r="R344" s="116"/>
      <c r="AC344" s="116"/>
    </row>
    <row r="345">
      <c r="H345" s="14"/>
      <c r="R345" s="116"/>
      <c r="AC345" s="116"/>
    </row>
    <row r="346">
      <c r="H346" s="14"/>
      <c r="R346" s="116"/>
      <c r="AC346" s="116"/>
    </row>
    <row r="347">
      <c r="H347" s="14"/>
      <c r="R347" s="116"/>
      <c r="AC347" s="116"/>
    </row>
    <row r="348">
      <c r="H348" s="14"/>
      <c r="R348" s="116"/>
      <c r="AC348" s="116"/>
    </row>
    <row r="349">
      <c r="H349" s="14"/>
      <c r="R349" s="116"/>
      <c r="AC349" s="116"/>
    </row>
    <row r="350">
      <c r="H350" s="14"/>
      <c r="R350" s="116"/>
      <c r="AC350" s="116"/>
    </row>
    <row r="351">
      <c r="H351" s="14"/>
      <c r="R351" s="116"/>
      <c r="AC351" s="116"/>
    </row>
    <row r="352">
      <c r="H352" s="14"/>
      <c r="R352" s="116"/>
      <c r="AC352" s="116"/>
    </row>
    <row r="353">
      <c r="H353" s="14"/>
      <c r="R353" s="116"/>
      <c r="AC353" s="116"/>
    </row>
    <row r="354">
      <c r="H354" s="14"/>
      <c r="R354" s="116"/>
      <c r="AC354" s="116"/>
    </row>
    <row r="355">
      <c r="H355" s="14"/>
      <c r="R355" s="116"/>
      <c r="AC355" s="116"/>
    </row>
    <row r="356">
      <c r="H356" s="14"/>
      <c r="R356" s="116"/>
      <c r="AC356" s="116"/>
    </row>
    <row r="357">
      <c r="H357" s="14"/>
      <c r="R357" s="116"/>
      <c r="AC357" s="116"/>
    </row>
    <row r="358">
      <c r="H358" s="14"/>
      <c r="R358" s="116"/>
      <c r="AC358" s="116"/>
    </row>
    <row r="359">
      <c r="H359" s="14"/>
      <c r="R359" s="116"/>
      <c r="AC359" s="116"/>
    </row>
    <row r="360">
      <c r="H360" s="14"/>
      <c r="R360" s="116"/>
      <c r="AC360" s="116"/>
    </row>
    <row r="361">
      <c r="H361" s="14"/>
      <c r="R361" s="116"/>
      <c r="AC361" s="116"/>
    </row>
    <row r="362">
      <c r="H362" s="14"/>
      <c r="R362" s="116"/>
      <c r="AC362" s="116"/>
    </row>
    <row r="363">
      <c r="H363" s="14"/>
      <c r="R363" s="116"/>
      <c r="AC363" s="116"/>
    </row>
    <row r="364">
      <c r="H364" s="14"/>
      <c r="R364" s="116"/>
      <c r="AC364" s="116"/>
    </row>
    <row r="365">
      <c r="H365" s="14"/>
      <c r="R365" s="116"/>
      <c r="AC365" s="116"/>
    </row>
    <row r="366">
      <c r="H366" s="14"/>
      <c r="R366" s="116"/>
      <c r="AC366" s="116"/>
    </row>
    <row r="367">
      <c r="H367" s="14"/>
      <c r="R367" s="116"/>
      <c r="AC367" s="116"/>
    </row>
    <row r="368">
      <c r="H368" s="14"/>
      <c r="R368" s="116"/>
      <c r="AC368" s="116"/>
    </row>
    <row r="369">
      <c r="H369" s="14"/>
      <c r="R369" s="116"/>
      <c r="AC369" s="116"/>
    </row>
    <row r="370">
      <c r="H370" s="14"/>
      <c r="R370" s="116"/>
      <c r="AC370" s="116"/>
    </row>
    <row r="371">
      <c r="H371" s="14"/>
      <c r="R371" s="116"/>
      <c r="AC371" s="116"/>
    </row>
    <row r="372">
      <c r="H372" s="14"/>
      <c r="R372" s="116"/>
      <c r="AC372" s="116"/>
    </row>
    <row r="373">
      <c r="H373" s="14"/>
      <c r="R373" s="116"/>
      <c r="AC373" s="116"/>
    </row>
    <row r="374">
      <c r="H374" s="14"/>
      <c r="R374" s="116"/>
      <c r="AC374" s="116"/>
    </row>
    <row r="375">
      <c r="H375" s="14"/>
      <c r="R375" s="116"/>
      <c r="AC375" s="116"/>
    </row>
    <row r="376">
      <c r="H376" s="14"/>
      <c r="R376" s="116"/>
      <c r="AC376" s="116"/>
    </row>
    <row r="377">
      <c r="H377" s="14"/>
      <c r="R377" s="116"/>
      <c r="AC377" s="116"/>
    </row>
    <row r="378">
      <c r="H378" s="14"/>
      <c r="R378" s="116"/>
      <c r="AC378" s="116"/>
    </row>
    <row r="379">
      <c r="H379" s="14"/>
      <c r="R379" s="116"/>
      <c r="AC379" s="116"/>
    </row>
    <row r="380">
      <c r="H380" s="14"/>
      <c r="R380" s="116"/>
      <c r="AC380" s="116"/>
    </row>
    <row r="381">
      <c r="H381" s="14"/>
      <c r="R381" s="116"/>
      <c r="AC381" s="116"/>
    </row>
    <row r="382">
      <c r="H382" s="14"/>
      <c r="R382" s="116"/>
      <c r="AC382" s="116"/>
    </row>
    <row r="383">
      <c r="H383" s="14"/>
      <c r="R383" s="116"/>
      <c r="AC383" s="116"/>
    </row>
    <row r="384">
      <c r="H384" s="14"/>
      <c r="R384" s="116"/>
      <c r="AC384" s="116"/>
    </row>
    <row r="385">
      <c r="H385" s="14"/>
      <c r="R385" s="116"/>
      <c r="AC385" s="116"/>
    </row>
    <row r="386">
      <c r="H386" s="14"/>
      <c r="R386" s="116"/>
      <c r="AC386" s="116"/>
    </row>
    <row r="387">
      <c r="H387" s="14"/>
      <c r="R387" s="116"/>
      <c r="AC387" s="116"/>
    </row>
    <row r="388">
      <c r="H388" s="14"/>
      <c r="R388" s="116"/>
      <c r="AC388" s="116"/>
    </row>
    <row r="389">
      <c r="H389" s="14"/>
      <c r="R389" s="116"/>
      <c r="AC389" s="116"/>
    </row>
    <row r="390">
      <c r="H390" s="14"/>
      <c r="R390" s="116"/>
      <c r="AC390" s="116"/>
    </row>
    <row r="391">
      <c r="H391" s="14"/>
      <c r="R391" s="116"/>
      <c r="AC391" s="116"/>
    </row>
    <row r="392">
      <c r="H392" s="14"/>
      <c r="R392" s="116"/>
      <c r="AC392" s="116"/>
    </row>
    <row r="393">
      <c r="H393" s="14"/>
      <c r="R393" s="116"/>
      <c r="AC393" s="116"/>
    </row>
    <row r="394">
      <c r="H394" s="14"/>
      <c r="R394" s="116"/>
      <c r="AC394" s="116"/>
    </row>
    <row r="395">
      <c r="H395" s="14"/>
      <c r="R395" s="116"/>
      <c r="AC395" s="116"/>
    </row>
    <row r="396">
      <c r="H396" s="14"/>
      <c r="R396" s="116"/>
      <c r="AC396" s="116"/>
    </row>
    <row r="397">
      <c r="H397" s="14"/>
      <c r="R397" s="116"/>
      <c r="AC397" s="116"/>
    </row>
    <row r="398">
      <c r="H398" s="14"/>
      <c r="R398" s="116"/>
      <c r="AC398" s="116"/>
    </row>
    <row r="399">
      <c r="H399" s="14"/>
      <c r="R399" s="116"/>
      <c r="AC399" s="116"/>
    </row>
    <row r="400">
      <c r="H400" s="14"/>
      <c r="R400" s="116"/>
      <c r="AC400" s="116"/>
    </row>
    <row r="401">
      <c r="H401" s="14"/>
      <c r="R401" s="116"/>
      <c r="AC401" s="116"/>
    </row>
    <row r="402">
      <c r="H402" s="14"/>
      <c r="R402" s="116"/>
      <c r="AC402" s="116"/>
    </row>
    <row r="403">
      <c r="H403" s="14"/>
      <c r="R403" s="116"/>
      <c r="AC403" s="116"/>
    </row>
    <row r="404">
      <c r="H404" s="14"/>
      <c r="R404" s="116"/>
      <c r="AC404" s="116"/>
    </row>
    <row r="405">
      <c r="H405" s="14"/>
      <c r="R405" s="116"/>
      <c r="AC405" s="116"/>
    </row>
    <row r="406">
      <c r="H406" s="14"/>
      <c r="R406" s="116"/>
      <c r="AC406" s="116"/>
    </row>
    <row r="407">
      <c r="H407" s="14"/>
      <c r="R407" s="116"/>
      <c r="AC407" s="116"/>
    </row>
    <row r="408">
      <c r="H408" s="14"/>
      <c r="R408" s="116"/>
      <c r="AC408" s="116"/>
    </row>
    <row r="409">
      <c r="H409" s="14"/>
      <c r="R409" s="116"/>
      <c r="AC409" s="116"/>
    </row>
    <row r="410">
      <c r="H410" s="14"/>
      <c r="R410" s="116"/>
      <c r="AC410" s="116"/>
    </row>
    <row r="411">
      <c r="H411" s="14"/>
      <c r="R411" s="116"/>
      <c r="AC411" s="116"/>
    </row>
    <row r="412">
      <c r="H412" s="14"/>
      <c r="R412" s="116"/>
      <c r="AC412" s="116"/>
    </row>
    <row r="413">
      <c r="H413" s="14"/>
      <c r="R413" s="116"/>
      <c r="AC413" s="116"/>
    </row>
    <row r="414">
      <c r="H414" s="14"/>
      <c r="R414" s="116"/>
      <c r="AC414" s="116"/>
    </row>
    <row r="415">
      <c r="H415" s="14"/>
      <c r="R415" s="116"/>
      <c r="AC415" s="116"/>
    </row>
    <row r="416">
      <c r="H416" s="14"/>
      <c r="R416" s="116"/>
      <c r="AC416" s="116"/>
    </row>
    <row r="417">
      <c r="H417" s="14"/>
      <c r="R417" s="116"/>
      <c r="AC417" s="116"/>
    </row>
    <row r="418">
      <c r="H418" s="14"/>
      <c r="R418" s="116"/>
      <c r="AC418" s="116"/>
    </row>
    <row r="419">
      <c r="H419" s="14"/>
      <c r="R419" s="116"/>
      <c r="AC419" s="116"/>
    </row>
    <row r="420">
      <c r="H420" s="14"/>
      <c r="R420" s="116"/>
      <c r="AC420" s="116"/>
    </row>
    <row r="421">
      <c r="H421" s="14"/>
      <c r="R421" s="116"/>
      <c r="AC421" s="116"/>
    </row>
    <row r="422">
      <c r="H422" s="14"/>
      <c r="R422" s="116"/>
      <c r="AC422" s="116"/>
    </row>
    <row r="423">
      <c r="H423" s="14"/>
      <c r="R423" s="116"/>
      <c r="AC423" s="116"/>
    </row>
    <row r="424">
      <c r="H424" s="14"/>
      <c r="R424" s="116"/>
      <c r="AC424" s="116"/>
    </row>
    <row r="425">
      <c r="H425" s="14"/>
      <c r="R425" s="116"/>
      <c r="AC425" s="116"/>
    </row>
    <row r="426">
      <c r="H426" s="14"/>
      <c r="R426" s="116"/>
      <c r="AC426" s="116"/>
    </row>
    <row r="427">
      <c r="H427" s="14"/>
      <c r="R427" s="116"/>
      <c r="AC427" s="116"/>
    </row>
    <row r="428">
      <c r="H428" s="14"/>
      <c r="R428" s="116"/>
      <c r="AC428" s="116"/>
    </row>
    <row r="429">
      <c r="H429" s="14"/>
      <c r="R429" s="116"/>
      <c r="AC429" s="116"/>
    </row>
    <row r="430">
      <c r="H430" s="14"/>
      <c r="R430" s="116"/>
      <c r="AC430" s="116"/>
    </row>
    <row r="431">
      <c r="H431" s="14"/>
      <c r="R431" s="116"/>
      <c r="AC431" s="116"/>
    </row>
    <row r="432">
      <c r="H432" s="14"/>
      <c r="R432" s="116"/>
      <c r="AC432" s="116"/>
    </row>
    <row r="433">
      <c r="H433" s="14"/>
      <c r="R433" s="116"/>
      <c r="AC433" s="116"/>
    </row>
    <row r="434">
      <c r="H434" s="14"/>
      <c r="R434" s="116"/>
      <c r="AC434" s="116"/>
    </row>
    <row r="435">
      <c r="H435" s="14"/>
      <c r="R435" s="116"/>
      <c r="AC435" s="116"/>
    </row>
    <row r="436">
      <c r="H436" s="14"/>
      <c r="R436" s="116"/>
      <c r="AC436" s="116"/>
    </row>
    <row r="437">
      <c r="H437" s="14"/>
      <c r="R437" s="116"/>
      <c r="AC437" s="116"/>
    </row>
    <row r="438">
      <c r="H438" s="14"/>
      <c r="R438" s="116"/>
      <c r="AC438" s="116"/>
    </row>
    <row r="439">
      <c r="H439" s="14"/>
      <c r="R439" s="116"/>
      <c r="AC439" s="116"/>
    </row>
    <row r="440">
      <c r="H440" s="14"/>
      <c r="R440" s="116"/>
      <c r="AC440" s="116"/>
    </row>
    <row r="441">
      <c r="H441" s="14"/>
      <c r="R441" s="116"/>
      <c r="AC441" s="116"/>
    </row>
    <row r="442">
      <c r="H442" s="14"/>
      <c r="R442" s="116"/>
      <c r="AC442" s="116"/>
    </row>
    <row r="443">
      <c r="H443" s="14"/>
      <c r="R443" s="116"/>
      <c r="AC443" s="116"/>
    </row>
    <row r="444">
      <c r="H444" s="14"/>
      <c r="R444" s="116"/>
      <c r="AC444" s="116"/>
    </row>
    <row r="445">
      <c r="H445" s="14"/>
      <c r="R445" s="116"/>
      <c r="AC445" s="116"/>
    </row>
    <row r="446">
      <c r="H446" s="14"/>
      <c r="R446" s="116"/>
      <c r="AC446" s="116"/>
    </row>
    <row r="447">
      <c r="H447" s="14"/>
      <c r="R447" s="116"/>
      <c r="AC447" s="116"/>
    </row>
    <row r="448">
      <c r="H448" s="14"/>
      <c r="R448" s="116"/>
      <c r="AC448" s="116"/>
    </row>
    <row r="449">
      <c r="H449" s="14"/>
      <c r="R449" s="116"/>
      <c r="AC449" s="116"/>
    </row>
    <row r="450">
      <c r="H450" s="14"/>
      <c r="R450" s="116"/>
      <c r="AC450" s="116"/>
    </row>
    <row r="451">
      <c r="H451" s="14"/>
      <c r="R451" s="116"/>
      <c r="AC451" s="116"/>
    </row>
    <row r="452">
      <c r="H452" s="14"/>
      <c r="R452" s="116"/>
      <c r="AC452" s="116"/>
    </row>
    <row r="453">
      <c r="H453" s="14"/>
      <c r="R453" s="116"/>
      <c r="AC453" s="116"/>
    </row>
    <row r="454">
      <c r="H454" s="14"/>
      <c r="R454" s="116"/>
      <c r="AC454" s="116"/>
    </row>
    <row r="455">
      <c r="H455" s="14"/>
      <c r="R455" s="116"/>
      <c r="AC455" s="116"/>
    </row>
    <row r="456">
      <c r="H456" s="14"/>
      <c r="R456" s="116"/>
      <c r="AC456" s="116"/>
    </row>
    <row r="457">
      <c r="H457" s="14"/>
      <c r="R457" s="116"/>
      <c r="AC457" s="116"/>
    </row>
    <row r="458">
      <c r="H458" s="14"/>
      <c r="R458" s="116"/>
      <c r="AC458" s="116"/>
    </row>
    <row r="459">
      <c r="H459" s="14"/>
      <c r="R459" s="116"/>
      <c r="AC459" s="116"/>
    </row>
    <row r="460">
      <c r="H460" s="14"/>
      <c r="R460" s="116"/>
      <c r="AC460" s="116"/>
    </row>
    <row r="461">
      <c r="H461" s="14"/>
      <c r="R461" s="116"/>
      <c r="AC461" s="116"/>
    </row>
    <row r="462">
      <c r="H462" s="14"/>
      <c r="R462" s="116"/>
      <c r="AC462" s="116"/>
    </row>
    <row r="463">
      <c r="H463" s="14"/>
      <c r="R463" s="116"/>
      <c r="AC463" s="116"/>
    </row>
    <row r="464">
      <c r="H464" s="14"/>
      <c r="R464" s="116"/>
      <c r="AC464" s="116"/>
    </row>
    <row r="465">
      <c r="H465" s="14"/>
      <c r="R465" s="116"/>
      <c r="AC465" s="116"/>
    </row>
    <row r="466">
      <c r="H466" s="14"/>
      <c r="R466" s="116"/>
      <c r="AC466" s="116"/>
    </row>
    <row r="467">
      <c r="H467" s="14"/>
      <c r="R467" s="116"/>
      <c r="AC467" s="116"/>
    </row>
    <row r="468">
      <c r="H468" s="14"/>
      <c r="R468" s="116"/>
      <c r="AC468" s="116"/>
    </row>
    <row r="469">
      <c r="H469" s="14"/>
      <c r="R469" s="116"/>
      <c r="AC469" s="116"/>
    </row>
    <row r="470">
      <c r="H470" s="14"/>
      <c r="R470" s="116"/>
      <c r="AC470" s="116"/>
    </row>
    <row r="471">
      <c r="H471" s="14"/>
      <c r="R471" s="116"/>
      <c r="AC471" s="116"/>
    </row>
    <row r="472">
      <c r="H472" s="14"/>
      <c r="R472" s="116"/>
      <c r="AC472" s="116"/>
    </row>
    <row r="473">
      <c r="H473" s="14"/>
      <c r="R473" s="116"/>
      <c r="AC473" s="116"/>
    </row>
    <row r="474">
      <c r="H474" s="14"/>
      <c r="R474" s="116"/>
      <c r="AC474" s="116"/>
    </row>
    <row r="475">
      <c r="H475" s="14"/>
      <c r="R475" s="116"/>
      <c r="AC475" s="116"/>
    </row>
    <row r="476">
      <c r="H476" s="14"/>
      <c r="R476" s="116"/>
      <c r="AC476" s="116"/>
    </row>
    <row r="477">
      <c r="H477" s="14"/>
      <c r="R477" s="116"/>
      <c r="AC477" s="116"/>
    </row>
    <row r="478">
      <c r="H478" s="14"/>
      <c r="R478" s="116"/>
      <c r="AC478" s="116"/>
    </row>
    <row r="479">
      <c r="H479" s="14"/>
      <c r="R479" s="116"/>
      <c r="AC479" s="116"/>
    </row>
    <row r="480">
      <c r="H480" s="14"/>
      <c r="R480" s="116"/>
      <c r="AC480" s="116"/>
    </row>
    <row r="481">
      <c r="H481" s="14"/>
      <c r="R481" s="116"/>
      <c r="AC481" s="116"/>
    </row>
    <row r="482">
      <c r="H482" s="14"/>
      <c r="R482" s="116"/>
      <c r="AC482" s="116"/>
    </row>
    <row r="483">
      <c r="H483" s="14"/>
      <c r="R483" s="116"/>
      <c r="AC483" s="116"/>
    </row>
    <row r="484">
      <c r="H484" s="14"/>
      <c r="R484" s="116"/>
      <c r="AC484" s="116"/>
    </row>
    <row r="485">
      <c r="H485" s="14"/>
      <c r="R485" s="116"/>
      <c r="AC485" s="116"/>
    </row>
    <row r="486">
      <c r="H486" s="14"/>
      <c r="R486" s="116"/>
      <c r="AC486" s="116"/>
    </row>
    <row r="487">
      <c r="H487" s="14"/>
      <c r="R487" s="116"/>
      <c r="AC487" s="116"/>
    </row>
    <row r="488">
      <c r="H488" s="14"/>
      <c r="R488" s="116"/>
      <c r="AC488" s="116"/>
    </row>
    <row r="489">
      <c r="H489" s="14"/>
      <c r="R489" s="116"/>
      <c r="AC489" s="116"/>
    </row>
    <row r="490">
      <c r="H490" s="14"/>
      <c r="R490" s="116"/>
      <c r="AC490" s="116"/>
    </row>
    <row r="491">
      <c r="H491" s="14"/>
      <c r="R491" s="116"/>
      <c r="AC491" s="116"/>
    </row>
    <row r="492">
      <c r="H492" s="14"/>
      <c r="R492" s="116"/>
      <c r="AC492" s="116"/>
    </row>
    <row r="493">
      <c r="H493" s="14"/>
      <c r="R493" s="116"/>
      <c r="AC493" s="116"/>
    </row>
    <row r="494">
      <c r="H494" s="14"/>
      <c r="R494" s="116"/>
      <c r="AC494" s="116"/>
    </row>
    <row r="495">
      <c r="H495" s="14"/>
      <c r="R495" s="116"/>
      <c r="AC495" s="116"/>
    </row>
    <row r="496">
      <c r="H496" s="14"/>
      <c r="R496" s="116"/>
      <c r="AC496" s="116"/>
    </row>
    <row r="497">
      <c r="H497" s="14"/>
      <c r="R497" s="116"/>
      <c r="AC497" s="116"/>
    </row>
    <row r="498">
      <c r="H498" s="14"/>
      <c r="R498" s="116"/>
      <c r="AC498" s="116"/>
    </row>
    <row r="499">
      <c r="H499" s="14"/>
      <c r="R499" s="116"/>
      <c r="AC499" s="116"/>
    </row>
    <row r="500">
      <c r="H500" s="14"/>
      <c r="R500" s="116"/>
      <c r="AC500" s="116"/>
    </row>
    <row r="501">
      <c r="H501" s="14"/>
      <c r="R501" s="116"/>
      <c r="AC501" s="116"/>
    </row>
    <row r="502">
      <c r="H502" s="14"/>
      <c r="R502" s="116"/>
      <c r="AC502" s="116"/>
    </row>
    <row r="503">
      <c r="H503" s="14"/>
      <c r="R503" s="116"/>
      <c r="AC503" s="116"/>
    </row>
    <row r="504">
      <c r="H504" s="14"/>
      <c r="R504" s="116"/>
      <c r="AC504" s="116"/>
    </row>
    <row r="505">
      <c r="H505" s="14"/>
      <c r="R505" s="116"/>
      <c r="AC505" s="116"/>
    </row>
    <row r="506">
      <c r="H506" s="14"/>
      <c r="R506" s="116"/>
      <c r="AC506" s="116"/>
    </row>
    <row r="507">
      <c r="H507" s="14"/>
      <c r="R507" s="116"/>
      <c r="AC507" s="116"/>
    </row>
    <row r="508">
      <c r="H508" s="14"/>
      <c r="R508" s="116"/>
      <c r="AC508" s="116"/>
    </row>
    <row r="509">
      <c r="H509" s="14"/>
      <c r="R509" s="116"/>
      <c r="AC509" s="116"/>
    </row>
    <row r="510">
      <c r="H510" s="14"/>
      <c r="R510" s="116"/>
      <c r="AC510" s="116"/>
    </row>
    <row r="511">
      <c r="H511" s="14"/>
      <c r="R511" s="116"/>
      <c r="AC511" s="116"/>
    </row>
    <row r="512">
      <c r="H512" s="14"/>
      <c r="R512" s="116"/>
      <c r="AC512" s="116"/>
    </row>
    <row r="513">
      <c r="H513" s="14"/>
      <c r="R513" s="116"/>
      <c r="AC513" s="116"/>
    </row>
    <row r="514">
      <c r="H514" s="14"/>
      <c r="R514" s="116"/>
      <c r="AC514" s="116"/>
    </row>
    <row r="515">
      <c r="H515" s="14"/>
      <c r="R515" s="116"/>
      <c r="AC515" s="116"/>
    </row>
    <row r="516">
      <c r="H516" s="14"/>
      <c r="R516" s="116"/>
      <c r="AC516" s="116"/>
    </row>
    <row r="517">
      <c r="H517" s="14"/>
      <c r="R517" s="116"/>
      <c r="AC517" s="116"/>
    </row>
    <row r="518">
      <c r="H518" s="14"/>
      <c r="R518" s="116"/>
      <c r="AC518" s="116"/>
    </row>
    <row r="519">
      <c r="H519" s="14"/>
      <c r="R519" s="116"/>
      <c r="AC519" s="116"/>
    </row>
    <row r="520">
      <c r="H520" s="14"/>
      <c r="R520" s="116"/>
      <c r="AC520" s="116"/>
    </row>
    <row r="521">
      <c r="H521" s="14"/>
      <c r="R521" s="116"/>
      <c r="AC521" s="116"/>
    </row>
    <row r="522">
      <c r="H522" s="14"/>
      <c r="R522" s="116"/>
      <c r="AC522" s="116"/>
    </row>
    <row r="523">
      <c r="H523" s="14"/>
      <c r="R523" s="116"/>
      <c r="AC523" s="116"/>
    </row>
    <row r="524">
      <c r="H524" s="14"/>
      <c r="R524" s="116"/>
      <c r="AC524" s="116"/>
    </row>
    <row r="525">
      <c r="H525" s="14"/>
      <c r="R525" s="116"/>
      <c r="AC525" s="116"/>
    </row>
    <row r="526">
      <c r="H526" s="14"/>
      <c r="R526" s="116"/>
      <c r="AC526" s="116"/>
    </row>
    <row r="527">
      <c r="H527" s="14"/>
      <c r="R527" s="116"/>
      <c r="AC527" s="116"/>
    </row>
    <row r="528">
      <c r="H528" s="14"/>
      <c r="R528" s="116"/>
      <c r="AC528" s="116"/>
    </row>
    <row r="529">
      <c r="H529" s="14"/>
      <c r="R529" s="116"/>
      <c r="AC529" s="116"/>
    </row>
    <row r="530">
      <c r="H530" s="14"/>
      <c r="R530" s="116"/>
      <c r="AC530" s="116"/>
    </row>
    <row r="531">
      <c r="H531" s="14"/>
      <c r="R531" s="116"/>
      <c r="AC531" s="116"/>
    </row>
    <row r="532">
      <c r="H532" s="14"/>
      <c r="R532" s="116"/>
      <c r="AC532" s="116"/>
    </row>
    <row r="533">
      <c r="H533" s="14"/>
      <c r="R533" s="116"/>
      <c r="AC533" s="116"/>
    </row>
    <row r="534">
      <c r="H534" s="14"/>
      <c r="R534" s="116"/>
      <c r="AC534" s="116"/>
    </row>
    <row r="535">
      <c r="H535" s="14"/>
      <c r="R535" s="116"/>
      <c r="AC535" s="116"/>
    </row>
    <row r="536">
      <c r="H536" s="14"/>
      <c r="R536" s="116"/>
      <c r="AC536" s="116"/>
    </row>
    <row r="537">
      <c r="H537" s="14"/>
      <c r="R537" s="116"/>
      <c r="AC537" s="116"/>
    </row>
    <row r="538">
      <c r="H538" s="14"/>
      <c r="R538" s="116"/>
      <c r="AC538" s="116"/>
    </row>
    <row r="539">
      <c r="H539" s="14"/>
      <c r="R539" s="116"/>
      <c r="AC539" s="116"/>
    </row>
    <row r="540">
      <c r="H540" s="14"/>
      <c r="R540" s="116"/>
      <c r="AC540" s="116"/>
    </row>
    <row r="541">
      <c r="H541" s="14"/>
      <c r="R541" s="116"/>
      <c r="AC541" s="116"/>
    </row>
    <row r="542">
      <c r="H542" s="14"/>
      <c r="R542" s="116"/>
      <c r="AC542" s="116"/>
    </row>
    <row r="543">
      <c r="H543" s="14"/>
      <c r="R543" s="116"/>
      <c r="AC543" s="116"/>
    </row>
    <row r="544">
      <c r="H544" s="14"/>
      <c r="R544" s="116"/>
      <c r="AC544" s="116"/>
    </row>
    <row r="545">
      <c r="H545" s="14"/>
      <c r="R545" s="116"/>
      <c r="AC545" s="116"/>
    </row>
    <row r="546">
      <c r="H546" s="14"/>
      <c r="R546" s="116"/>
      <c r="AC546" s="116"/>
    </row>
    <row r="547">
      <c r="H547" s="14"/>
      <c r="R547" s="116"/>
      <c r="AC547" s="116"/>
    </row>
    <row r="548">
      <c r="H548" s="14"/>
      <c r="R548" s="116"/>
      <c r="AC548" s="116"/>
    </row>
    <row r="549">
      <c r="H549" s="14"/>
      <c r="R549" s="116"/>
      <c r="AC549" s="116"/>
    </row>
    <row r="550">
      <c r="H550" s="14"/>
      <c r="R550" s="116"/>
      <c r="AC550" s="116"/>
    </row>
    <row r="551">
      <c r="H551" s="14"/>
      <c r="R551" s="116"/>
      <c r="AC551" s="116"/>
    </row>
    <row r="552">
      <c r="H552" s="14"/>
      <c r="R552" s="116"/>
      <c r="AC552" s="116"/>
    </row>
    <row r="553">
      <c r="H553" s="14"/>
      <c r="R553" s="116"/>
      <c r="AC553" s="116"/>
    </row>
    <row r="554">
      <c r="H554" s="14"/>
      <c r="R554" s="116"/>
      <c r="AC554" s="116"/>
    </row>
    <row r="555">
      <c r="H555" s="14"/>
      <c r="R555" s="116"/>
      <c r="AC555" s="116"/>
    </row>
    <row r="556">
      <c r="H556" s="14"/>
      <c r="R556" s="116"/>
      <c r="AC556" s="116"/>
    </row>
    <row r="557">
      <c r="H557" s="14"/>
      <c r="R557" s="116"/>
      <c r="AC557" s="116"/>
    </row>
    <row r="558">
      <c r="H558" s="14"/>
      <c r="R558" s="116"/>
      <c r="AC558" s="116"/>
    </row>
    <row r="559">
      <c r="H559" s="14"/>
      <c r="R559" s="116"/>
      <c r="AC559" s="116"/>
    </row>
    <row r="560">
      <c r="H560" s="14"/>
      <c r="R560" s="116"/>
      <c r="AC560" s="116"/>
    </row>
    <row r="561">
      <c r="H561" s="14"/>
      <c r="R561" s="116"/>
      <c r="AC561" s="116"/>
    </row>
    <row r="562">
      <c r="H562" s="14"/>
      <c r="R562" s="116"/>
      <c r="AC562" s="116"/>
    </row>
    <row r="563">
      <c r="H563" s="14"/>
      <c r="R563" s="116"/>
      <c r="AC563" s="116"/>
    </row>
    <row r="564">
      <c r="H564" s="14"/>
      <c r="R564" s="116"/>
      <c r="AC564" s="116"/>
    </row>
    <row r="565">
      <c r="H565" s="14"/>
      <c r="R565" s="116"/>
      <c r="AC565" s="116"/>
    </row>
    <row r="566">
      <c r="H566" s="14"/>
      <c r="R566" s="116"/>
      <c r="AC566" s="116"/>
    </row>
    <row r="567">
      <c r="H567" s="14"/>
      <c r="R567" s="116"/>
      <c r="AC567" s="116"/>
    </row>
    <row r="568">
      <c r="H568" s="14"/>
      <c r="R568" s="116"/>
      <c r="AC568" s="116"/>
    </row>
    <row r="569">
      <c r="H569" s="14"/>
      <c r="R569" s="116"/>
      <c r="AC569" s="116"/>
    </row>
    <row r="570">
      <c r="H570" s="14"/>
      <c r="R570" s="116"/>
      <c r="AC570" s="116"/>
    </row>
    <row r="571">
      <c r="H571" s="14"/>
      <c r="R571" s="116"/>
      <c r="AC571" s="116"/>
    </row>
    <row r="572">
      <c r="H572" s="14"/>
      <c r="R572" s="116"/>
      <c r="AC572" s="116"/>
    </row>
    <row r="573">
      <c r="H573" s="14"/>
      <c r="R573" s="116"/>
      <c r="AC573" s="116"/>
    </row>
    <row r="574">
      <c r="H574" s="14"/>
      <c r="R574" s="116"/>
      <c r="AC574" s="116"/>
    </row>
    <row r="575">
      <c r="H575" s="14"/>
      <c r="R575" s="116"/>
      <c r="AC575" s="116"/>
    </row>
    <row r="576">
      <c r="H576" s="14"/>
      <c r="R576" s="116"/>
      <c r="AC576" s="116"/>
    </row>
    <row r="577">
      <c r="H577" s="14"/>
      <c r="R577" s="116"/>
      <c r="AC577" s="116"/>
    </row>
    <row r="578">
      <c r="H578" s="14"/>
      <c r="R578" s="116"/>
      <c r="AC578" s="116"/>
    </row>
    <row r="579">
      <c r="H579" s="14"/>
      <c r="R579" s="116"/>
      <c r="AC579" s="116"/>
    </row>
    <row r="580">
      <c r="H580" s="14"/>
      <c r="R580" s="116"/>
      <c r="AC580" s="116"/>
    </row>
    <row r="581">
      <c r="H581" s="14"/>
      <c r="R581" s="116"/>
      <c r="AC581" s="116"/>
    </row>
    <row r="582">
      <c r="H582" s="14"/>
      <c r="R582" s="116"/>
      <c r="AC582" s="116"/>
    </row>
    <row r="583">
      <c r="H583" s="14"/>
      <c r="R583" s="116"/>
      <c r="AC583" s="116"/>
    </row>
    <row r="584">
      <c r="H584" s="14"/>
      <c r="R584" s="116"/>
      <c r="AC584" s="116"/>
    </row>
    <row r="585">
      <c r="H585" s="14"/>
      <c r="R585" s="116"/>
      <c r="AC585" s="116"/>
    </row>
    <row r="586">
      <c r="H586" s="14"/>
      <c r="R586" s="116"/>
      <c r="AC586" s="116"/>
    </row>
    <row r="587">
      <c r="H587" s="14"/>
      <c r="R587" s="116"/>
      <c r="AC587" s="116"/>
    </row>
    <row r="588">
      <c r="H588" s="14"/>
      <c r="R588" s="116"/>
      <c r="AC588" s="116"/>
    </row>
    <row r="589">
      <c r="H589" s="14"/>
      <c r="R589" s="116"/>
      <c r="AC589" s="116"/>
    </row>
    <row r="590">
      <c r="H590" s="14"/>
      <c r="R590" s="116"/>
      <c r="AC590" s="116"/>
    </row>
    <row r="591">
      <c r="H591" s="14"/>
      <c r="R591" s="116"/>
      <c r="AC591" s="116"/>
    </row>
    <row r="592">
      <c r="H592" s="14"/>
      <c r="R592" s="116"/>
      <c r="AC592" s="116"/>
    </row>
    <row r="593">
      <c r="H593" s="14"/>
      <c r="R593" s="116"/>
      <c r="AC593" s="116"/>
    </row>
    <row r="594">
      <c r="H594" s="14"/>
      <c r="R594" s="116"/>
      <c r="AC594" s="116"/>
    </row>
    <row r="595">
      <c r="H595" s="14"/>
      <c r="R595" s="116"/>
      <c r="AC595" s="116"/>
    </row>
    <row r="596">
      <c r="H596" s="14"/>
      <c r="R596" s="116"/>
      <c r="AC596" s="116"/>
    </row>
    <row r="597">
      <c r="H597" s="14"/>
      <c r="R597" s="116"/>
      <c r="AC597" s="116"/>
    </row>
    <row r="598">
      <c r="H598" s="14"/>
      <c r="R598" s="116"/>
      <c r="AC598" s="116"/>
    </row>
    <row r="599">
      <c r="H599" s="14"/>
      <c r="R599" s="116"/>
      <c r="AC599" s="116"/>
    </row>
    <row r="600">
      <c r="H600" s="14"/>
      <c r="R600" s="116"/>
      <c r="AC600" s="116"/>
    </row>
    <row r="601">
      <c r="H601" s="14"/>
      <c r="R601" s="116"/>
      <c r="AC601" s="116"/>
    </row>
    <row r="602">
      <c r="H602" s="14"/>
      <c r="R602" s="116"/>
      <c r="AC602" s="116"/>
    </row>
    <row r="603">
      <c r="H603" s="14"/>
      <c r="R603" s="116"/>
      <c r="AC603" s="116"/>
    </row>
    <row r="604">
      <c r="H604" s="14"/>
      <c r="R604" s="116"/>
      <c r="AC604" s="116"/>
    </row>
    <row r="605">
      <c r="H605" s="14"/>
      <c r="R605" s="116"/>
      <c r="AC605" s="116"/>
    </row>
    <row r="606">
      <c r="H606" s="14"/>
      <c r="R606" s="116"/>
      <c r="AC606" s="116"/>
    </row>
    <row r="607">
      <c r="H607" s="14"/>
      <c r="R607" s="116"/>
      <c r="AC607" s="116"/>
    </row>
    <row r="608">
      <c r="H608" s="14"/>
      <c r="R608" s="116"/>
      <c r="AC608" s="116"/>
    </row>
    <row r="609">
      <c r="H609" s="14"/>
      <c r="R609" s="116"/>
      <c r="AC609" s="116"/>
    </row>
    <row r="610">
      <c r="H610" s="14"/>
      <c r="R610" s="116"/>
      <c r="AC610" s="116"/>
    </row>
    <row r="611">
      <c r="H611" s="14"/>
      <c r="R611" s="116"/>
      <c r="AC611" s="116"/>
    </row>
    <row r="612">
      <c r="H612" s="14"/>
      <c r="R612" s="116"/>
      <c r="AC612" s="116"/>
    </row>
    <row r="613">
      <c r="H613" s="14"/>
      <c r="R613" s="116"/>
      <c r="AC613" s="116"/>
    </row>
    <row r="614">
      <c r="H614" s="14"/>
      <c r="R614" s="116"/>
      <c r="AC614" s="116"/>
    </row>
    <row r="615">
      <c r="H615" s="14"/>
      <c r="R615" s="116"/>
      <c r="AC615" s="116"/>
    </row>
    <row r="616">
      <c r="H616" s="14"/>
      <c r="R616" s="116"/>
      <c r="AC616" s="116"/>
    </row>
    <row r="617">
      <c r="H617" s="14"/>
      <c r="R617" s="116"/>
      <c r="AC617" s="116"/>
    </row>
    <row r="618">
      <c r="H618" s="14"/>
      <c r="R618" s="116"/>
      <c r="AC618" s="116"/>
    </row>
    <row r="619">
      <c r="H619" s="14"/>
      <c r="R619" s="116"/>
      <c r="AC619" s="116"/>
    </row>
    <row r="620">
      <c r="H620" s="14"/>
      <c r="R620" s="116"/>
      <c r="AC620" s="116"/>
    </row>
    <row r="621">
      <c r="H621" s="14"/>
      <c r="R621" s="116"/>
      <c r="AC621" s="116"/>
    </row>
    <row r="622">
      <c r="H622" s="14"/>
      <c r="R622" s="116"/>
      <c r="AC622" s="116"/>
    </row>
    <row r="623">
      <c r="H623" s="14"/>
      <c r="R623" s="116"/>
      <c r="AC623" s="116"/>
    </row>
    <row r="624">
      <c r="H624" s="14"/>
      <c r="R624" s="116"/>
      <c r="AC624" s="116"/>
    </row>
    <row r="625">
      <c r="H625" s="14"/>
      <c r="R625" s="116"/>
      <c r="AC625" s="116"/>
    </row>
    <row r="626">
      <c r="H626" s="14"/>
      <c r="R626" s="116"/>
      <c r="AC626" s="116"/>
    </row>
    <row r="627">
      <c r="H627" s="14"/>
      <c r="R627" s="116"/>
      <c r="AC627" s="116"/>
    </row>
    <row r="628">
      <c r="H628" s="14"/>
      <c r="R628" s="116"/>
      <c r="AC628" s="116"/>
    </row>
    <row r="629">
      <c r="H629" s="14"/>
      <c r="R629" s="116"/>
      <c r="AC629" s="116"/>
    </row>
    <row r="630">
      <c r="H630" s="14"/>
      <c r="R630" s="116"/>
      <c r="AC630" s="116"/>
    </row>
    <row r="631">
      <c r="H631" s="14"/>
      <c r="R631" s="116"/>
      <c r="AC631" s="116"/>
    </row>
    <row r="632">
      <c r="H632" s="14"/>
      <c r="R632" s="116"/>
      <c r="AC632" s="116"/>
    </row>
    <row r="633">
      <c r="H633" s="14"/>
      <c r="R633" s="116"/>
      <c r="AC633" s="116"/>
    </row>
    <row r="634">
      <c r="H634" s="14"/>
      <c r="R634" s="116"/>
      <c r="AC634" s="116"/>
    </row>
    <row r="635">
      <c r="H635" s="14"/>
      <c r="R635" s="116"/>
      <c r="AC635" s="116"/>
    </row>
    <row r="636">
      <c r="H636" s="14"/>
      <c r="R636" s="116"/>
      <c r="AC636" s="116"/>
    </row>
    <row r="637">
      <c r="H637" s="14"/>
      <c r="R637" s="116"/>
      <c r="AC637" s="116"/>
    </row>
    <row r="638">
      <c r="H638" s="14"/>
      <c r="R638" s="116"/>
      <c r="AC638" s="116"/>
    </row>
    <row r="639">
      <c r="H639" s="14"/>
      <c r="R639" s="116"/>
      <c r="AC639" s="116"/>
    </row>
    <row r="640">
      <c r="H640" s="14"/>
      <c r="R640" s="116"/>
      <c r="AC640" s="116"/>
    </row>
    <row r="641">
      <c r="H641" s="14"/>
      <c r="R641" s="116"/>
      <c r="AC641" s="116"/>
    </row>
    <row r="642">
      <c r="H642" s="14"/>
      <c r="R642" s="116"/>
      <c r="AC642" s="116"/>
    </row>
    <row r="643">
      <c r="H643" s="14"/>
      <c r="R643" s="116"/>
      <c r="AC643" s="116"/>
    </row>
    <row r="644">
      <c r="H644" s="14"/>
      <c r="R644" s="116"/>
      <c r="AC644" s="116"/>
    </row>
    <row r="645">
      <c r="H645" s="14"/>
      <c r="R645" s="116"/>
      <c r="AC645" s="116"/>
    </row>
    <row r="646">
      <c r="H646" s="14"/>
      <c r="R646" s="116"/>
      <c r="AC646" s="116"/>
    </row>
    <row r="647">
      <c r="H647" s="14"/>
      <c r="R647" s="116"/>
      <c r="AC647" s="116"/>
    </row>
    <row r="648">
      <c r="H648" s="14"/>
      <c r="R648" s="116"/>
      <c r="AC648" s="116"/>
    </row>
    <row r="649">
      <c r="H649" s="14"/>
      <c r="R649" s="116"/>
      <c r="AC649" s="116"/>
    </row>
    <row r="650">
      <c r="H650" s="14"/>
      <c r="R650" s="116"/>
      <c r="AC650" s="116"/>
    </row>
    <row r="651">
      <c r="H651" s="14"/>
      <c r="R651" s="116"/>
      <c r="AC651" s="116"/>
    </row>
    <row r="652">
      <c r="H652" s="14"/>
      <c r="R652" s="116"/>
      <c r="AC652" s="116"/>
    </row>
    <row r="653">
      <c r="H653" s="14"/>
      <c r="R653" s="116"/>
      <c r="AC653" s="116"/>
    </row>
    <row r="654">
      <c r="H654" s="14"/>
      <c r="R654" s="116"/>
      <c r="AC654" s="116"/>
    </row>
    <row r="655">
      <c r="H655" s="14"/>
      <c r="R655" s="116"/>
      <c r="AC655" s="116"/>
    </row>
    <row r="656">
      <c r="H656" s="14"/>
      <c r="R656" s="116"/>
      <c r="AC656" s="116"/>
    </row>
    <row r="657">
      <c r="H657" s="14"/>
      <c r="R657" s="116"/>
      <c r="AC657" s="116"/>
    </row>
    <row r="658">
      <c r="H658" s="14"/>
      <c r="R658" s="116"/>
      <c r="AC658" s="116"/>
    </row>
    <row r="659">
      <c r="H659" s="14"/>
      <c r="R659" s="116"/>
      <c r="AC659" s="116"/>
    </row>
    <row r="660">
      <c r="H660" s="14"/>
      <c r="R660" s="116"/>
      <c r="AC660" s="116"/>
    </row>
    <row r="661">
      <c r="H661" s="14"/>
      <c r="R661" s="116"/>
      <c r="AC661" s="116"/>
    </row>
    <row r="662">
      <c r="H662" s="14"/>
      <c r="R662" s="116"/>
      <c r="AC662" s="116"/>
    </row>
    <row r="663">
      <c r="H663" s="14"/>
      <c r="R663" s="116"/>
      <c r="AC663" s="116"/>
    </row>
    <row r="664">
      <c r="H664" s="14"/>
      <c r="R664" s="116"/>
      <c r="AC664" s="116"/>
    </row>
    <row r="665">
      <c r="H665" s="14"/>
      <c r="R665" s="116"/>
      <c r="AC665" s="116"/>
    </row>
    <row r="666">
      <c r="H666" s="14"/>
      <c r="R666" s="116"/>
      <c r="AC666" s="116"/>
    </row>
    <row r="667">
      <c r="H667" s="14"/>
      <c r="R667" s="116"/>
      <c r="AC667" s="116"/>
    </row>
    <row r="668">
      <c r="H668" s="14"/>
      <c r="R668" s="116"/>
      <c r="AC668" s="116"/>
    </row>
    <row r="669">
      <c r="H669" s="14"/>
      <c r="R669" s="116"/>
      <c r="AC669" s="116"/>
    </row>
    <row r="670">
      <c r="H670" s="14"/>
      <c r="R670" s="116"/>
      <c r="AC670" s="116"/>
    </row>
    <row r="671">
      <c r="H671" s="14"/>
      <c r="R671" s="116"/>
      <c r="AC671" s="116"/>
    </row>
    <row r="672">
      <c r="H672" s="14"/>
      <c r="R672" s="116"/>
      <c r="AC672" s="116"/>
    </row>
    <row r="673">
      <c r="H673" s="14"/>
      <c r="R673" s="116"/>
      <c r="AC673" s="116"/>
    </row>
    <row r="674">
      <c r="H674" s="14"/>
      <c r="R674" s="116"/>
      <c r="AC674" s="116"/>
    </row>
    <row r="675">
      <c r="H675" s="14"/>
      <c r="R675" s="116"/>
      <c r="AC675" s="116"/>
    </row>
    <row r="676">
      <c r="H676" s="14"/>
      <c r="R676" s="116"/>
      <c r="AC676" s="116"/>
    </row>
    <row r="677">
      <c r="H677" s="14"/>
      <c r="R677" s="116"/>
      <c r="AC677" s="116"/>
    </row>
    <row r="678">
      <c r="H678" s="14"/>
      <c r="R678" s="116"/>
      <c r="AC678" s="116"/>
    </row>
    <row r="679">
      <c r="H679" s="14"/>
      <c r="R679" s="116"/>
      <c r="AC679" s="116"/>
    </row>
    <row r="680">
      <c r="H680" s="14"/>
      <c r="R680" s="116"/>
      <c r="AC680" s="116"/>
    </row>
    <row r="681">
      <c r="H681" s="14"/>
      <c r="R681" s="116"/>
      <c r="AC681" s="116"/>
    </row>
    <row r="682">
      <c r="H682" s="14"/>
      <c r="R682" s="116"/>
      <c r="AC682" s="116"/>
    </row>
    <row r="683">
      <c r="H683" s="14"/>
      <c r="R683" s="116"/>
      <c r="AC683" s="116"/>
    </row>
    <row r="684">
      <c r="H684" s="14"/>
      <c r="R684" s="116"/>
      <c r="AC684" s="116"/>
    </row>
    <row r="685">
      <c r="H685" s="14"/>
      <c r="R685" s="116"/>
      <c r="AC685" s="116"/>
    </row>
    <row r="686">
      <c r="H686" s="14"/>
      <c r="R686" s="116"/>
      <c r="AC686" s="116"/>
    </row>
    <row r="687">
      <c r="H687" s="14"/>
      <c r="R687" s="116"/>
      <c r="AC687" s="116"/>
    </row>
    <row r="688">
      <c r="H688" s="14"/>
      <c r="R688" s="116"/>
      <c r="AC688" s="116"/>
    </row>
    <row r="689">
      <c r="H689" s="14"/>
      <c r="R689" s="116"/>
      <c r="AC689" s="116"/>
    </row>
    <row r="690">
      <c r="H690" s="14"/>
      <c r="R690" s="116"/>
      <c r="AC690" s="116"/>
    </row>
    <row r="691">
      <c r="H691" s="14"/>
      <c r="R691" s="116"/>
      <c r="AC691" s="116"/>
    </row>
    <row r="692">
      <c r="H692" s="14"/>
      <c r="R692" s="116"/>
      <c r="AC692" s="116"/>
    </row>
    <row r="693">
      <c r="H693" s="14"/>
      <c r="R693" s="116"/>
      <c r="AC693" s="116"/>
    </row>
    <row r="694">
      <c r="H694" s="14"/>
      <c r="R694" s="116"/>
      <c r="AC694" s="116"/>
    </row>
    <row r="695">
      <c r="H695" s="14"/>
      <c r="R695" s="116"/>
      <c r="AC695" s="116"/>
    </row>
    <row r="696">
      <c r="H696" s="14"/>
      <c r="R696" s="116"/>
      <c r="AC696" s="116"/>
    </row>
    <row r="697">
      <c r="H697" s="14"/>
      <c r="R697" s="116"/>
      <c r="AC697" s="116"/>
    </row>
    <row r="698">
      <c r="H698" s="14"/>
      <c r="R698" s="116"/>
      <c r="AC698" s="116"/>
    </row>
    <row r="699">
      <c r="H699" s="14"/>
      <c r="R699" s="116"/>
      <c r="AC699" s="116"/>
    </row>
    <row r="700">
      <c r="H700" s="14"/>
      <c r="R700" s="116"/>
      <c r="AC700" s="116"/>
    </row>
    <row r="701">
      <c r="H701" s="14"/>
      <c r="R701" s="116"/>
      <c r="AC701" s="116"/>
    </row>
    <row r="702">
      <c r="H702" s="14"/>
      <c r="R702" s="116"/>
      <c r="AC702" s="116"/>
    </row>
    <row r="703">
      <c r="H703" s="14"/>
      <c r="R703" s="116"/>
      <c r="AC703" s="116"/>
    </row>
    <row r="704">
      <c r="H704" s="14"/>
      <c r="R704" s="116"/>
      <c r="AC704" s="116"/>
    </row>
    <row r="705">
      <c r="H705" s="14"/>
      <c r="R705" s="116"/>
      <c r="AC705" s="116"/>
    </row>
    <row r="706">
      <c r="H706" s="14"/>
      <c r="R706" s="116"/>
      <c r="AC706" s="116"/>
    </row>
    <row r="707">
      <c r="H707" s="14"/>
      <c r="R707" s="116"/>
      <c r="AC707" s="116"/>
    </row>
    <row r="708">
      <c r="H708" s="14"/>
      <c r="R708" s="116"/>
      <c r="AC708" s="116"/>
    </row>
    <row r="709">
      <c r="H709" s="14"/>
      <c r="R709" s="116"/>
      <c r="AC709" s="116"/>
    </row>
    <row r="710">
      <c r="H710" s="14"/>
      <c r="R710" s="116"/>
      <c r="AC710" s="116"/>
    </row>
    <row r="711">
      <c r="H711" s="14"/>
      <c r="R711" s="116"/>
      <c r="AC711" s="116"/>
    </row>
    <row r="712">
      <c r="H712" s="14"/>
      <c r="R712" s="116"/>
      <c r="AC712" s="116"/>
    </row>
    <row r="713">
      <c r="H713" s="14"/>
      <c r="R713" s="116"/>
      <c r="AC713" s="116"/>
    </row>
    <row r="714">
      <c r="H714" s="14"/>
      <c r="R714" s="116"/>
      <c r="AC714" s="116"/>
    </row>
    <row r="715">
      <c r="H715" s="14"/>
      <c r="R715" s="116"/>
      <c r="AC715" s="116"/>
    </row>
    <row r="716">
      <c r="H716" s="14"/>
      <c r="R716" s="116"/>
      <c r="AC716" s="116"/>
    </row>
    <row r="717">
      <c r="H717" s="14"/>
      <c r="R717" s="116"/>
      <c r="AC717" s="116"/>
    </row>
    <row r="718">
      <c r="H718" s="14"/>
      <c r="R718" s="116"/>
      <c r="AC718" s="116"/>
    </row>
    <row r="719">
      <c r="H719" s="14"/>
      <c r="R719" s="116"/>
      <c r="AC719" s="116"/>
    </row>
    <row r="720">
      <c r="H720" s="14"/>
      <c r="R720" s="116"/>
      <c r="AC720" s="116"/>
    </row>
    <row r="721">
      <c r="H721" s="14"/>
      <c r="R721" s="116"/>
      <c r="AC721" s="116"/>
    </row>
    <row r="722">
      <c r="H722" s="14"/>
      <c r="R722" s="116"/>
      <c r="AC722" s="116"/>
    </row>
    <row r="723">
      <c r="H723" s="14"/>
      <c r="R723" s="116"/>
      <c r="AC723" s="116"/>
    </row>
    <row r="724">
      <c r="H724" s="14"/>
      <c r="R724" s="116"/>
      <c r="AC724" s="116"/>
    </row>
    <row r="725">
      <c r="H725" s="14"/>
      <c r="R725" s="116"/>
      <c r="AC725" s="116"/>
    </row>
    <row r="726">
      <c r="H726" s="14"/>
      <c r="R726" s="116"/>
      <c r="AC726" s="116"/>
    </row>
    <row r="727">
      <c r="H727" s="14"/>
      <c r="R727" s="116"/>
      <c r="AC727" s="116"/>
    </row>
    <row r="728">
      <c r="H728" s="14"/>
      <c r="R728" s="116"/>
      <c r="AC728" s="116"/>
    </row>
    <row r="729">
      <c r="H729" s="14"/>
      <c r="R729" s="116"/>
      <c r="AC729" s="116"/>
    </row>
    <row r="730">
      <c r="H730" s="14"/>
      <c r="R730" s="116"/>
      <c r="AC730" s="116"/>
    </row>
    <row r="731">
      <c r="H731" s="14"/>
      <c r="R731" s="116"/>
      <c r="AC731" s="116"/>
    </row>
    <row r="732">
      <c r="H732" s="14"/>
      <c r="R732" s="116"/>
      <c r="AC732" s="116"/>
    </row>
    <row r="733">
      <c r="H733" s="14"/>
      <c r="R733" s="116"/>
      <c r="AC733" s="116"/>
    </row>
    <row r="734">
      <c r="H734" s="14"/>
      <c r="R734" s="116"/>
      <c r="AC734" s="116"/>
    </row>
    <row r="735">
      <c r="H735" s="14"/>
      <c r="R735" s="116"/>
      <c r="AC735" s="116"/>
    </row>
    <row r="736">
      <c r="H736" s="14"/>
      <c r="R736" s="116"/>
      <c r="AC736" s="116"/>
    </row>
    <row r="737">
      <c r="H737" s="14"/>
      <c r="R737" s="116"/>
      <c r="AC737" s="116"/>
    </row>
    <row r="738">
      <c r="H738" s="14"/>
      <c r="R738" s="116"/>
      <c r="AC738" s="116"/>
    </row>
    <row r="739">
      <c r="H739" s="14"/>
      <c r="R739" s="116"/>
      <c r="AC739" s="116"/>
    </row>
    <row r="740">
      <c r="H740" s="14"/>
      <c r="R740" s="116"/>
      <c r="AC740" s="116"/>
    </row>
    <row r="741">
      <c r="H741" s="14"/>
      <c r="R741" s="116"/>
      <c r="AC741" s="116"/>
    </row>
    <row r="742">
      <c r="H742" s="14"/>
      <c r="R742" s="116"/>
      <c r="AC742" s="116"/>
    </row>
    <row r="743">
      <c r="H743" s="14"/>
      <c r="R743" s="116"/>
      <c r="AC743" s="116"/>
    </row>
    <row r="744">
      <c r="H744" s="14"/>
      <c r="R744" s="116"/>
      <c r="AC744" s="116"/>
    </row>
    <row r="745">
      <c r="H745" s="14"/>
      <c r="R745" s="116"/>
      <c r="AC745" s="116"/>
    </row>
    <row r="746">
      <c r="H746" s="14"/>
      <c r="R746" s="116"/>
      <c r="AC746" s="116"/>
    </row>
    <row r="747">
      <c r="H747" s="14"/>
      <c r="R747" s="116"/>
      <c r="AC747" s="116"/>
    </row>
    <row r="748">
      <c r="H748" s="14"/>
      <c r="R748" s="116"/>
      <c r="AC748" s="116"/>
    </row>
    <row r="749">
      <c r="H749" s="14"/>
      <c r="R749" s="116"/>
      <c r="AC749" s="116"/>
    </row>
    <row r="750">
      <c r="H750" s="14"/>
      <c r="R750" s="116"/>
      <c r="AC750" s="116"/>
    </row>
    <row r="751">
      <c r="H751" s="14"/>
      <c r="R751" s="116"/>
      <c r="AC751" s="116"/>
    </row>
    <row r="752">
      <c r="H752" s="14"/>
      <c r="R752" s="116"/>
      <c r="AC752" s="116"/>
    </row>
    <row r="753">
      <c r="H753" s="14"/>
      <c r="R753" s="116"/>
      <c r="AC753" s="116"/>
    </row>
    <row r="754">
      <c r="H754" s="14"/>
      <c r="R754" s="116"/>
      <c r="AC754" s="116"/>
    </row>
    <row r="755">
      <c r="H755" s="14"/>
      <c r="R755" s="116"/>
      <c r="AC755" s="116"/>
    </row>
    <row r="756">
      <c r="H756" s="14"/>
      <c r="R756" s="116"/>
      <c r="AC756" s="116"/>
    </row>
    <row r="757">
      <c r="H757" s="14"/>
      <c r="R757" s="116"/>
      <c r="AC757" s="116"/>
    </row>
    <row r="758">
      <c r="H758" s="14"/>
      <c r="R758" s="116"/>
      <c r="AC758" s="116"/>
    </row>
    <row r="759">
      <c r="H759" s="14"/>
      <c r="R759" s="116"/>
      <c r="AC759" s="116"/>
    </row>
    <row r="760">
      <c r="H760" s="14"/>
      <c r="R760" s="116"/>
      <c r="AC760" s="116"/>
    </row>
    <row r="761">
      <c r="H761" s="14"/>
      <c r="R761" s="116"/>
      <c r="AC761" s="116"/>
    </row>
    <row r="762">
      <c r="H762" s="14"/>
      <c r="R762" s="116"/>
      <c r="AC762" s="116"/>
    </row>
    <row r="763">
      <c r="H763" s="14"/>
      <c r="R763" s="116"/>
      <c r="AC763" s="116"/>
    </row>
    <row r="764">
      <c r="H764" s="14"/>
      <c r="R764" s="116"/>
      <c r="AC764" s="116"/>
    </row>
    <row r="765">
      <c r="H765" s="14"/>
      <c r="R765" s="116"/>
      <c r="AC765" s="116"/>
    </row>
    <row r="766">
      <c r="H766" s="14"/>
      <c r="R766" s="116"/>
      <c r="AC766" s="116"/>
    </row>
    <row r="767">
      <c r="H767" s="14"/>
      <c r="R767" s="116"/>
      <c r="AC767" s="116"/>
    </row>
    <row r="768">
      <c r="H768" s="14"/>
      <c r="R768" s="116"/>
      <c r="AC768" s="116"/>
    </row>
    <row r="769">
      <c r="H769" s="14"/>
      <c r="R769" s="116"/>
      <c r="AC769" s="116"/>
    </row>
    <row r="770">
      <c r="H770" s="14"/>
      <c r="R770" s="116"/>
      <c r="AC770" s="116"/>
    </row>
    <row r="771">
      <c r="H771" s="14"/>
      <c r="R771" s="116"/>
      <c r="AC771" s="116"/>
    </row>
    <row r="772">
      <c r="H772" s="14"/>
      <c r="R772" s="116"/>
      <c r="AC772" s="116"/>
    </row>
    <row r="773">
      <c r="H773" s="14"/>
      <c r="R773" s="116"/>
      <c r="AC773" s="116"/>
    </row>
    <row r="774">
      <c r="H774" s="14"/>
      <c r="R774" s="116"/>
      <c r="AC774" s="116"/>
    </row>
    <row r="775">
      <c r="H775" s="14"/>
      <c r="R775" s="116"/>
      <c r="AC775" s="116"/>
    </row>
    <row r="776">
      <c r="H776" s="14"/>
      <c r="R776" s="116"/>
      <c r="AC776" s="116"/>
    </row>
    <row r="777">
      <c r="H777" s="14"/>
      <c r="R777" s="116"/>
      <c r="AC777" s="116"/>
    </row>
    <row r="778">
      <c r="H778" s="14"/>
      <c r="R778" s="116"/>
      <c r="AC778" s="116"/>
    </row>
    <row r="779">
      <c r="H779" s="14"/>
      <c r="R779" s="116"/>
      <c r="AC779" s="116"/>
    </row>
    <row r="780">
      <c r="H780" s="14"/>
      <c r="R780" s="116"/>
      <c r="AC780" s="116"/>
    </row>
    <row r="781">
      <c r="H781" s="14"/>
      <c r="R781" s="116"/>
      <c r="AC781" s="116"/>
    </row>
    <row r="782">
      <c r="H782" s="14"/>
      <c r="R782" s="116"/>
      <c r="AC782" s="116"/>
    </row>
    <row r="783">
      <c r="H783" s="14"/>
      <c r="R783" s="116"/>
      <c r="AC783" s="116"/>
    </row>
    <row r="784">
      <c r="H784" s="14"/>
      <c r="R784" s="116"/>
      <c r="AC784" s="116"/>
    </row>
    <row r="785">
      <c r="H785" s="14"/>
      <c r="R785" s="116"/>
      <c r="AC785" s="116"/>
    </row>
    <row r="786">
      <c r="H786" s="14"/>
      <c r="R786" s="116"/>
      <c r="AC786" s="116"/>
    </row>
    <row r="787">
      <c r="H787" s="14"/>
      <c r="R787" s="116"/>
      <c r="AC787" s="116"/>
    </row>
    <row r="788">
      <c r="H788" s="14"/>
      <c r="R788" s="116"/>
      <c r="AC788" s="116"/>
    </row>
    <row r="789">
      <c r="H789" s="14"/>
      <c r="R789" s="116"/>
      <c r="AC789" s="116"/>
    </row>
    <row r="790">
      <c r="H790" s="14"/>
      <c r="R790" s="116"/>
      <c r="AC790" s="116"/>
    </row>
    <row r="791">
      <c r="H791" s="14"/>
      <c r="R791" s="116"/>
      <c r="AC791" s="116"/>
    </row>
    <row r="792">
      <c r="H792" s="14"/>
      <c r="R792" s="116"/>
      <c r="AC792" s="116"/>
    </row>
    <row r="793">
      <c r="H793" s="14"/>
      <c r="R793" s="116"/>
      <c r="AC793" s="116"/>
    </row>
    <row r="794">
      <c r="H794" s="14"/>
      <c r="R794" s="116"/>
      <c r="AC794" s="116"/>
    </row>
    <row r="795">
      <c r="H795" s="14"/>
      <c r="R795" s="116"/>
      <c r="AC795" s="116"/>
    </row>
    <row r="796">
      <c r="H796" s="14"/>
      <c r="R796" s="116"/>
      <c r="AC796" s="116"/>
    </row>
    <row r="797">
      <c r="H797" s="14"/>
      <c r="R797" s="116"/>
      <c r="AC797" s="116"/>
    </row>
    <row r="798">
      <c r="H798" s="14"/>
      <c r="R798" s="116"/>
      <c r="AC798" s="116"/>
    </row>
    <row r="799">
      <c r="H799" s="14"/>
      <c r="R799" s="116"/>
      <c r="AC799" s="116"/>
    </row>
    <row r="800">
      <c r="H800" s="14"/>
      <c r="R800" s="116"/>
      <c r="AC800" s="116"/>
    </row>
    <row r="801">
      <c r="H801" s="14"/>
      <c r="R801" s="116"/>
      <c r="AC801" s="116"/>
    </row>
    <row r="802">
      <c r="H802" s="14"/>
      <c r="R802" s="116"/>
      <c r="AC802" s="116"/>
    </row>
    <row r="803">
      <c r="H803" s="14"/>
      <c r="R803" s="116"/>
      <c r="AC803" s="116"/>
    </row>
    <row r="804">
      <c r="H804" s="14"/>
      <c r="R804" s="116"/>
      <c r="AC804" s="116"/>
    </row>
    <row r="805">
      <c r="H805" s="14"/>
      <c r="R805" s="116"/>
      <c r="AC805" s="116"/>
    </row>
    <row r="806">
      <c r="H806" s="14"/>
      <c r="R806" s="116"/>
      <c r="AC806" s="116"/>
    </row>
    <row r="807">
      <c r="H807" s="14"/>
      <c r="R807" s="116"/>
      <c r="AC807" s="116"/>
    </row>
    <row r="808">
      <c r="H808" s="14"/>
      <c r="R808" s="116"/>
      <c r="AC808" s="116"/>
    </row>
    <row r="809">
      <c r="H809" s="14"/>
      <c r="R809" s="116"/>
      <c r="AC809" s="116"/>
    </row>
    <row r="810">
      <c r="H810" s="14"/>
      <c r="R810" s="116"/>
      <c r="AC810" s="116"/>
    </row>
    <row r="811">
      <c r="H811" s="14"/>
      <c r="R811" s="116"/>
      <c r="AC811" s="116"/>
    </row>
    <row r="812">
      <c r="H812" s="14"/>
      <c r="R812" s="116"/>
      <c r="AC812" s="116"/>
    </row>
    <row r="813">
      <c r="H813" s="14"/>
      <c r="R813" s="116"/>
      <c r="AC813" s="116"/>
    </row>
    <row r="814">
      <c r="H814" s="14"/>
      <c r="R814" s="116"/>
      <c r="AC814" s="116"/>
    </row>
    <row r="815">
      <c r="H815" s="14"/>
      <c r="R815" s="116"/>
      <c r="AC815" s="116"/>
    </row>
    <row r="816">
      <c r="H816" s="14"/>
      <c r="R816" s="116"/>
      <c r="AC816" s="116"/>
    </row>
    <row r="817">
      <c r="H817" s="14"/>
      <c r="R817" s="116"/>
      <c r="AC817" s="116"/>
    </row>
    <row r="818">
      <c r="H818" s="14"/>
      <c r="R818" s="116"/>
      <c r="AC818" s="116"/>
    </row>
    <row r="819">
      <c r="H819" s="14"/>
      <c r="R819" s="116"/>
      <c r="AC819" s="116"/>
    </row>
    <row r="820">
      <c r="H820" s="14"/>
      <c r="R820" s="116"/>
      <c r="AC820" s="116"/>
    </row>
    <row r="821">
      <c r="H821" s="14"/>
      <c r="R821" s="116"/>
      <c r="AC821" s="116"/>
    </row>
    <row r="822">
      <c r="H822" s="14"/>
      <c r="R822" s="116"/>
      <c r="AC822" s="116"/>
    </row>
    <row r="823">
      <c r="H823" s="14"/>
      <c r="R823" s="116"/>
      <c r="AC823" s="116"/>
    </row>
    <row r="824">
      <c r="H824" s="14"/>
      <c r="R824" s="116"/>
      <c r="AC824" s="116"/>
    </row>
    <row r="825">
      <c r="H825" s="14"/>
      <c r="R825" s="116"/>
      <c r="AC825" s="116"/>
    </row>
    <row r="826">
      <c r="H826" s="14"/>
      <c r="R826" s="116"/>
      <c r="AC826" s="116"/>
    </row>
    <row r="827">
      <c r="H827" s="14"/>
      <c r="R827" s="116"/>
      <c r="AC827" s="116"/>
    </row>
    <row r="828">
      <c r="H828" s="14"/>
      <c r="R828" s="116"/>
      <c r="AC828" s="116"/>
    </row>
    <row r="829">
      <c r="H829" s="14"/>
      <c r="R829" s="116"/>
      <c r="AC829" s="116"/>
    </row>
    <row r="830">
      <c r="H830" s="14"/>
      <c r="R830" s="116"/>
      <c r="AC830" s="116"/>
    </row>
    <row r="831">
      <c r="H831" s="14"/>
      <c r="R831" s="116"/>
      <c r="AC831" s="116"/>
    </row>
    <row r="832">
      <c r="H832" s="14"/>
      <c r="R832" s="116"/>
      <c r="AC832" s="116"/>
    </row>
    <row r="833">
      <c r="H833" s="14"/>
      <c r="R833" s="116"/>
      <c r="AC833" s="116"/>
    </row>
    <row r="834">
      <c r="H834" s="14"/>
      <c r="R834" s="116"/>
      <c r="AC834" s="116"/>
    </row>
    <row r="835">
      <c r="H835" s="14"/>
      <c r="R835" s="116"/>
      <c r="AC835" s="116"/>
    </row>
    <row r="836">
      <c r="H836" s="14"/>
      <c r="R836" s="116"/>
      <c r="AC836" s="116"/>
    </row>
    <row r="837">
      <c r="H837" s="14"/>
      <c r="R837" s="116"/>
      <c r="AC837" s="116"/>
    </row>
    <row r="838">
      <c r="H838" s="14"/>
      <c r="R838" s="116"/>
      <c r="AC838" s="116"/>
    </row>
    <row r="839">
      <c r="H839" s="14"/>
      <c r="R839" s="116"/>
      <c r="AC839" s="116"/>
    </row>
    <row r="840">
      <c r="H840" s="14"/>
      <c r="R840" s="116"/>
      <c r="AC840" s="116"/>
    </row>
    <row r="841">
      <c r="H841" s="14"/>
      <c r="R841" s="116"/>
      <c r="AC841" s="116"/>
    </row>
    <row r="842">
      <c r="H842" s="14"/>
      <c r="R842" s="116"/>
      <c r="AC842" s="116"/>
    </row>
    <row r="843">
      <c r="H843" s="14"/>
      <c r="R843" s="116"/>
      <c r="AC843" s="116"/>
    </row>
    <row r="844">
      <c r="H844" s="14"/>
      <c r="R844" s="116"/>
      <c r="AC844" s="116"/>
    </row>
    <row r="845">
      <c r="H845" s="14"/>
      <c r="R845" s="116"/>
      <c r="AC845" s="116"/>
    </row>
    <row r="846">
      <c r="H846" s="14"/>
      <c r="R846" s="116"/>
      <c r="AC846" s="116"/>
    </row>
    <row r="847">
      <c r="H847" s="14"/>
      <c r="R847" s="116"/>
      <c r="AC847" s="116"/>
    </row>
    <row r="848">
      <c r="H848" s="14"/>
      <c r="R848" s="116"/>
      <c r="AC848" s="116"/>
    </row>
    <row r="849">
      <c r="H849" s="14"/>
      <c r="R849" s="116"/>
      <c r="AC849" s="116"/>
    </row>
    <row r="850">
      <c r="H850" s="14"/>
      <c r="R850" s="116"/>
      <c r="AC850" s="116"/>
    </row>
    <row r="851">
      <c r="H851" s="14"/>
      <c r="R851" s="116"/>
      <c r="AC851" s="116"/>
    </row>
    <row r="852">
      <c r="H852" s="14"/>
      <c r="R852" s="116"/>
      <c r="AC852" s="116"/>
    </row>
    <row r="853">
      <c r="H853" s="14"/>
      <c r="R853" s="116"/>
      <c r="AC853" s="116"/>
    </row>
    <row r="854">
      <c r="H854" s="14"/>
      <c r="R854" s="116"/>
      <c r="AC854" s="116"/>
    </row>
    <row r="855">
      <c r="H855" s="14"/>
      <c r="R855" s="116"/>
      <c r="AC855" s="116"/>
    </row>
    <row r="856">
      <c r="H856" s="14"/>
      <c r="R856" s="116"/>
      <c r="AC856" s="116"/>
    </row>
    <row r="857">
      <c r="H857" s="14"/>
      <c r="R857" s="116"/>
      <c r="AC857" s="116"/>
    </row>
    <row r="858">
      <c r="H858" s="14"/>
      <c r="R858" s="116"/>
      <c r="AC858" s="116"/>
    </row>
    <row r="859">
      <c r="H859" s="14"/>
      <c r="R859" s="116"/>
      <c r="AC859" s="116"/>
    </row>
    <row r="860">
      <c r="H860" s="14"/>
      <c r="R860" s="116"/>
      <c r="AC860" s="116"/>
    </row>
    <row r="861">
      <c r="H861" s="14"/>
      <c r="R861" s="116"/>
      <c r="AC861" s="116"/>
    </row>
    <row r="862">
      <c r="H862" s="14"/>
      <c r="R862" s="116"/>
      <c r="AC862" s="116"/>
    </row>
    <row r="863">
      <c r="H863" s="14"/>
      <c r="R863" s="116"/>
      <c r="AC863" s="116"/>
    </row>
    <row r="864">
      <c r="H864" s="14"/>
      <c r="R864" s="116"/>
      <c r="AC864" s="116"/>
    </row>
    <row r="865">
      <c r="H865" s="14"/>
      <c r="R865" s="116"/>
      <c r="AC865" s="116"/>
    </row>
    <row r="866">
      <c r="H866" s="14"/>
      <c r="R866" s="116"/>
      <c r="AC866" s="116"/>
    </row>
    <row r="867">
      <c r="H867" s="14"/>
      <c r="R867" s="116"/>
      <c r="AC867" s="116"/>
    </row>
    <row r="868">
      <c r="H868" s="14"/>
      <c r="R868" s="116"/>
      <c r="AC868" s="116"/>
    </row>
    <row r="869">
      <c r="H869" s="14"/>
      <c r="R869" s="116"/>
      <c r="AC869" s="116"/>
    </row>
    <row r="870">
      <c r="H870" s="14"/>
      <c r="R870" s="116"/>
      <c r="AC870" s="116"/>
    </row>
    <row r="871">
      <c r="H871" s="14"/>
      <c r="R871" s="116"/>
      <c r="AC871" s="116"/>
    </row>
    <row r="872">
      <c r="H872" s="14"/>
      <c r="R872" s="116"/>
      <c r="AC872" s="116"/>
    </row>
    <row r="873">
      <c r="H873" s="14"/>
      <c r="R873" s="116"/>
      <c r="AC873" s="116"/>
    </row>
    <row r="874">
      <c r="H874" s="14"/>
      <c r="R874" s="116"/>
      <c r="AC874" s="116"/>
    </row>
    <row r="875">
      <c r="H875" s="14"/>
      <c r="R875" s="116"/>
      <c r="AC875" s="116"/>
    </row>
    <row r="876">
      <c r="H876" s="14"/>
      <c r="R876" s="116"/>
      <c r="AC876" s="116"/>
    </row>
    <row r="877">
      <c r="H877" s="14"/>
      <c r="R877" s="116"/>
      <c r="AC877" s="116"/>
    </row>
    <row r="878">
      <c r="H878" s="14"/>
      <c r="R878" s="116"/>
      <c r="AC878" s="116"/>
    </row>
    <row r="879">
      <c r="H879" s="14"/>
      <c r="R879" s="116"/>
      <c r="AC879" s="116"/>
    </row>
    <row r="880">
      <c r="H880" s="14"/>
      <c r="R880" s="116"/>
      <c r="AC880" s="116"/>
    </row>
    <row r="881">
      <c r="H881" s="14"/>
      <c r="R881" s="116"/>
      <c r="AC881" s="116"/>
    </row>
    <row r="882">
      <c r="H882" s="14"/>
      <c r="R882" s="116"/>
      <c r="AC882" s="116"/>
    </row>
    <row r="883">
      <c r="H883" s="14"/>
      <c r="R883" s="116"/>
      <c r="AC883" s="116"/>
    </row>
    <row r="884">
      <c r="H884" s="14"/>
      <c r="R884" s="116"/>
      <c r="AC884" s="116"/>
    </row>
    <row r="885">
      <c r="H885" s="14"/>
      <c r="R885" s="116"/>
      <c r="AC885" s="116"/>
    </row>
    <row r="886">
      <c r="H886" s="14"/>
      <c r="R886" s="116"/>
      <c r="AC886" s="116"/>
    </row>
    <row r="887">
      <c r="H887" s="14"/>
      <c r="R887" s="116"/>
      <c r="AC887" s="116"/>
    </row>
    <row r="888">
      <c r="H888" s="14"/>
      <c r="R888" s="116"/>
      <c r="AC888" s="116"/>
    </row>
    <row r="889">
      <c r="H889" s="14"/>
      <c r="R889" s="116"/>
      <c r="AC889" s="116"/>
    </row>
    <row r="890">
      <c r="H890" s="14"/>
      <c r="R890" s="116"/>
      <c r="AC890" s="116"/>
    </row>
    <row r="891">
      <c r="H891" s="14"/>
      <c r="R891" s="116"/>
      <c r="AC891" s="116"/>
    </row>
    <row r="892">
      <c r="H892" s="14"/>
      <c r="R892" s="116"/>
      <c r="AC892" s="116"/>
    </row>
    <row r="893">
      <c r="H893" s="14"/>
      <c r="R893" s="116"/>
      <c r="AC893" s="116"/>
    </row>
    <row r="894">
      <c r="H894" s="14"/>
      <c r="R894" s="116"/>
      <c r="AC894" s="116"/>
    </row>
    <row r="895">
      <c r="H895" s="14"/>
      <c r="R895" s="116"/>
      <c r="AC895" s="116"/>
    </row>
    <row r="896">
      <c r="H896" s="14"/>
      <c r="R896" s="116"/>
      <c r="AC896" s="116"/>
    </row>
    <row r="897">
      <c r="H897" s="14"/>
      <c r="R897" s="116"/>
      <c r="AC897" s="116"/>
    </row>
    <row r="898">
      <c r="H898" s="14"/>
      <c r="R898" s="116"/>
      <c r="AC898" s="116"/>
    </row>
    <row r="899">
      <c r="H899" s="14"/>
      <c r="R899" s="116"/>
      <c r="AC899" s="116"/>
    </row>
    <row r="900">
      <c r="H900" s="14"/>
      <c r="R900" s="116"/>
      <c r="AC900" s="116"/>
    </row>
    <row r="901">
      <c r="H901" s="14"/>
      <c r="R901" s="116"/>
      <c r="AC901" s="116"/>
    </row>
    <row r="902">
      <c r="H902" s="14"/>
      <c r="R902" s="116"/>
      <c r="AC902" s="116"/>
    </row>
    <row r="903">
      <c r="H903" s="14"/>
      <c r="R903" s="116"/>
      <c r="AC903" s="116"/>
    </row>
    <row r="904">
      <c r="H904" s="14"/>
      <c r="R904" s="116"/>
      <c r="AC904" s="116"/>
    </row>
    <row r="905">
      <c r="H905" s="14"/>
      <c r="R905" s="116"/>
      <c r="AC905" s="116"/>
    </row>
    <row r="906">
      <c r="H906" s="14"/>
      <c r="R906" s="116"/>
      <c r="AC906" s="116"/>
    </row>
    <row r="907">
      <c r="H907" s="14"/>
      <c r="R907" s="116"/>
      <c r="AC907" s="116"/>
    </row>
    <row r="908">
      <c r="H908" s="14"/>
      <c r="R908" s="116"/>
      <c r="AC908" s="116"/>
    </row>
    <row r="909">
      <c r="H909" s="14"/>
      <c r="R909" s="116"/>
      <c r="AC909" s="116"/>
    </row>
    <row r="910">
      <c r="H910" s="14"/>
      <c r="R910" s="116"/>
      <c r="AC910" s="116"/>
    </row>
    <row r="911">
      <c r="H911" s="14"/>
      <c r="R911" s="116"/>
      <c r="AC911" s="116"/>
    </row>
    <row r="912">
      <c r="H912" s="14"/>
      <c r="R912" s="116"/>
      <c r="AC912" s="116"/>
    </row>
    <row r="913">
      <c r="H913" s="14"/>
      <c r="R913" s="116"/>
      <c r="AC913" s="116"/>
    </row>
    <row r="914">
      <c r="H914" s="14"/>
      <c r="R914" s="116"/>
      <c r="AC914" s="116"/>
    </row>
    <row r="915">
      <c r="H915" s="14"/>
      <c r="R915" s="116"/>
      <c r="AC915" s="116"/>
    </row>
    <row r="916">
      <c r="H916" s="14"/>
      <c r="R916" s="116"/>
      <c r="AC916" s="116"/>
    </row>
    <row r="917">
      <c r="H917" s="14"/>
      <c r="R917" s="116"/>
      <c r="AC917" s="116"/>
    </row>
    <row r="918">
      <c r="H918" s="14"/>
      <c r="R918" s="116"/>
      <c r="AC918" s="116"/>
    </row>
    <row r="919">
      <c r="H919" s="14"/>
      <c r="R919" s="116"/>
      <c r="AC919" s="116"/>
    </row>
    <row r="920">
      <c r="H920" s="14"/>
      <c r="R920" s="116"/>
      <c r="AC920" s="116"/>
    </row>
    <row r="921">
      <c r="H921" s="14"/>
      <c r="R921" s="116"/>
      <c r="AC921" s="116"/>
    </row>
    <row r="922">
      <c r="H922" s="14"/>
      <c r="R922" s="116"/>
      <c r="AC922" s="116"/>
    </row>
    <row r="923">
      <c r="H923" s="14"/>
      <c r="R923" s="116"/>
      <c r="AC923" s="116"/>
    </row>
    <row r="924">
      <c r="H924" s="14"/>
      <c r="R924" s="116"/>
      <c r="AC924" s="116"/>
    </row>
    <row r="925">
      <c r="H925" s="14"/>
      <c r="R925" s="116"/>
      <c r="AC925" s="116"/>
    </row>
    <row r="926">
      <c r="H926" s="14"/>
      <c r="R926" s="116"/>
      <c r="AC926" s="116"/>
    </row>
    <row r="927">
      <c r="H927" s="14"/>
      <c r="R927" s="116"/>
      <c r="AC927" s="116"/>
    </row>
    <row r="928">
      <c r="H928" s="14"/>
      <c r="R928" s="116"/>
      <c r="AC928" s="116"/>
    </row>
    <row r="929">
      <c r="H929" s="14"/>
      <c r="R929" s="116"/>
      <c r="AC929" s="116"/>
    </row>
    <row r="930">
      <c r="H930" s="14"/>
      <c r="R930" s="116"/>
      <c r="AC930" s="116"/>
    </row>
    <row r="931">
      <c r="H931" s="14"/>
      <c r="R931" s="116"/>
      <c r="AC931" s="116"/>
    </row>
    <row r="932">
      <c r="H932" s="14"/>
      <c r="R932" s="116"/>
      <c r="AC932" s="116"/>
    </row>
    <row r="933">
      <c r="H933" s="14"/>
      <c r="R933" s="116"/>
      <c r="AC933" s="116"/>
    </row>
    <row r="934">
      <c r="H934" s="14"/>
      <c r="R934" s="116"/>
      <c r="AC934" s="116"/>
    </row>
    <row r="935">
      <c r="H935" s="14"/>
      <c r="R935" s="116"/>
      <c r="AC935" s="116"/>
    </row>
    <row r="936">
      <c r="H936" s="14"/>
      <c r="R936" s="116"/>
      <c r="AC936" s="116"/>
    </row>
    <row r="937">
      <c r="H937" s="14"/>
      <c r="R937" s="116"/>
      <c r="AC937" s="116"/>
    </row>
    <row r="938">
      <c r="H938" s="14"/>
      <c r="R938" s="116"/>
      <c r="AC938" s="116"/>
    </row>
    <row r="939">
      <c r="H939" s="14"/>
      <c r="R939" s="116"/>
      <c r="AC939" s="116"/>
    </row>
    <row r="940">
      <c r="H940" s="14"/>
      <c r="R940" s="116"/>
      <c r="AC940" s="116"/>
    </row>
    <row r="941">
      <c r="H941" s="14"/>
      <c r="R941" s="116"/>
      <c r="AC941" s="116"/>
    </row>
    <row r="942">
      <c r="H942" s="14"/>
      <c r="R942" s="116"/>
      <c r="AC942" s="116"/>
    </row>
    <row r="943">
      <c r="H943" s="14"/>
      <c r="R943" s="116"/>
      <c r="AC943" s="116"/>
    </row>
    <row r="944">
      <c r="H944" s="14"/>
      <c r="R944" s="116"/>
      <c r="AC944" s="116"/>
    </row>
    <row r="945">
      <c r="H945" s="14"/>
      <c r="R945" s="116"/>
      <c r="AC945" s="116"/>
    </row>
    <row r="946">
      <c r="H946" s="14"/>
      <c r="R946" s="116"/>
      <c r="AC946" s="116"/>
    </row>
    <row r="947">
      <c r="H947" s="14"/>
      <c r="R947" s="116"/>
      <c r="AC947" s="116"/>
    </row>
    <row r="948">
      <c r="H948" s="14"/>
      <c r="R948" s="116"/>
      <c r="AC948" s="116"/>
    </row>
    <row r="949">
      <c r="H949" s="14"/>
      <c r="R949" s="116"/>
      <c r="AC949" s="116"/>
    </row>
    <row r="950">
      <c r="H950" s="14"/>
      <c r="R950" s="116"/>
      <c r="AC950" s="116"/>
    </row>
    <row r="951">
      <c r="H951" s="14"/>
      <c r="R951" s="116"/>
      <c r="AC951" s="116"/>
    </row>
    <row r="952">
      <c r="H952" s="14"/>
      <c r="R952" s="116"/>
      <c r="AC952" s="116"/>
    </row>
    <row r="953">
      <c r="H953" s="14"/>
      <c r="R953" s="116"/>
      <c r="AC953" s="116"/>
    </row>
    <row r="954">
      <c r="H954" s="14"/>
      <c r="R954" s="116"/>
      <c r="AC954" s="116"/>
    </row>
    <row r="955">
      <c r="H955" s="14"/>
      <c r="R955" s="116"/>
      <c r="AC955" s="116"/>
    </row>
    <row r="956">
      <c r="H956" s="14"/>
      <c r="R956" s="116"/>
      <c r="AC956" s="116"/>
    </row>
    <row r="957">
      <c r="H957" s="14"/>
      <c r="R957" s="116"/>
      <c r="AC957" s="116"/>
    </row>
    <row r="958">
      <c r="H958" s="14"/>
      <c r="R958" s="116"/>
      <c r="AC958" s="116"/>
    </row>
    <row r="959">
      <c r="H959" s="14"/>
      <c r="R959" s="116"/>
      <c r="AC959" s="116"/>
    </row>
    <row r="960">
      <c r="H960" s="14"/>
      <c r="R960" s="116"/>
      <c r="AC960" s="116"/>
    </row>
    <row r="961">
      <c r="H961" s="14"/>
      <c r="R961" s="116"/>
      <c r="AC961" s="116"/>
    </row>
    <row r="962">
      <c r="H962" s="14"/>
      <c r="R962" s="116"/>
      <c r="AC962" s="116"/>
    </row>
    <row r="963">
      <c r="H963" s="14"/>
      <c r="R963" s="116"/>
      <c r="AC963" s="116"/>
    </row>
    <row r="964">
      <c r="H964" s="14"/>
      <c r="R964" s="116"/>
      <c r="AC964" s="116"/>
    </row>
    <row r="965">
      <c r="H965" s="14"/>
      <c r="R965" s="116"/>
      <c r="AC965" s="116"/>
    </row>
    <row r="966">
      <c r="H966" s="14"/>
      <c r="R966" s="116"/>
      <c r="AC966" s="116"/>
    </row>
    <row r="967">
      <c r="H967" s="14"/>
      <c r="R967" s="116"/>
      <c r="AC967" s="116"/>
    </row>
    <row r="968">
      <c r="H968" s="14"/>
      <c r="R968" s="116"/>
      <c r="AC968" s="116"/>
    </row>
    <row r="969">
      <c r="H969" s="14"/>
      <c r="R969" s="116"/>
      <c r="AC969" s="116"/>
    </row>
    <row r="970">
      <c r="H970" s="14"/>
      <c r="R970" s="116"/>
      <c r="AC970" s="116"/>
    </row>
    <row r="971">
      <c r="H971" s="14"/>
      <c r="R971" s="116"/>
      <c r="AC971" s="116"/>
    </row>
    <row r="972">
      <c r="H972" s="14"/>
      <c r="R972" s="116"/>
      <c r="AC972" s="116"/>
    </row>
    <row r="973">
      <c r="H973" s="14"/>
      <c r="R973" s="116"/>
      <c r="AC973" s="116"/>
    </row>
    <row r="974">
      <c r="H974" s="14"/>
      <c r="R974" s="116"/>
      <c r="AC974" s="116"/>
    </row>
    <row r="975">
      <c r="H975" s="14"/>
      <c r="R975" s="116"/>
      <c r="AC975" s="116"/>
    </row>
    <row r="976">
      <c r="H976" s="14"/>
      <c r="R976" s="116"/>
      <c r="AC976" s="116"/>
    </row>
    <row r="977">
      <c r="H977" s="14"/>
      <c r="R977" s="116"/>
      <c r="AC977" s="116"/>
    </row>
    <row r="978">
      <c r="H978" s="14"/>
      <c r="R978" s="116"/>
      <c r="AC978" s="116"/>
    </row>
    <row r="979">
      <c r="H979" s="14"/>
      <c r="R979" s="116"/>
      <c r="AC979" s="116"/>
    </row>
    <row r="980">
      <c r="H980" s="14"/>
      <c r="R980" s="116"/>
      <c r="AC980" s="116"/>
    </row>
    <row r="981">
      <c r="H981" s="14"/>
      <c r="R981" s="116"/>
      <c r="AC981" s="116"/>
    </row>
    <row r="982">
      <c r="H982" s="14"/>
      <c r="R982" s="116"/>
      <c r="AC982" s="116"/>
    </row>
    <row r="983">
      <c r="H983" s="14"/>
      <c r="R983" s="116"/>
      <c r="AC983" s="116"/>
    </row>
    <row r="984">
      <c r="H984" s="14"/>
      <c r="R984" s="116"/>
      <c r="AC984" s="116"/>
    </row>
    <row r="985">
      <c r="H985" s="14"/>
      <c r="R985" s="116"/>
      <c r="AC985" s="116"/>
    </row>
    <row r="986">
      <c r="H986" s="14"/>
      <c r="R986" s="116"/>
      <c r="AC986" s="116"/>
    </row>
    <row r="987">
      <c r="H987" s="14"/>
      <c r="R987" s="116"/>
      <c r="AC987" s="116"/>
    </row>
    <row r="988">
      <c r="H988" s="14"/>
      <c r="R988" s="116"/>
      <c r="AC988" s="116"/>
    </row>
    <row r="989">
      <c r="H989" s="14"/>
      <c r="R989" s="116"/>
      <c r="AC989" s="116"/>
    </row>
    <row r="990">
      <c r="H990" s="14"/>
      <c r="R990" s="116"/>
      <c r="AC990" s="116"/>
    </row>
    <row r="991">
      <c r="H991" s="14"/>
      <c r="R991" s="116"/>
      <c r="AC991" s="116"/>
    </row>
    <row r="992">
      <c r="H992" s="14"/>
      <c r="R992" s="116"/>
      <c r="AC992" s="116"/>
    </row>
    <row r="993">
      <c r="H993" s="14"/>
      <c r="R993" s="116"/>
      <c r="AC993" s="116"/>
    </row>
    <row r="994">
      <c r="H994" s="14"/>
      <c r="R994" s="116"/>
      <c r="AC994" s="116"/>
    </row>
    <row r="995">
      <c r="H995" s="14"/>
      <c r="R995" s="116"/>
      <c r="AC995" s="116"/>
    </row>
    <row r="996">
      <c r="H996" s="14"/>
      <c r="R996" s="116"/>
      <c r="AC996" s="116"/>
    </row>
    <row r="997">
      <c r="H997" s="14"/>
      <c r="R997" s="116"/>
      <c r="AC997" s="116"/>
    </row>
    <row r="998">
      <c r="H998" s="14"/>
      <c r="R998" s="116"/>
      <c r="AC998" s="116"/>
    </row>
    <row r="999">
      <c r="H999" s="14"/>
      <c r="R999" s="116"/>
      <c r="AC999" s="116"/>
    </row>
    <row r="1000">
      <c r="H1000" s="14"/>
      <c r="R1000" s="116"/>
      <c r="AC1000" s="116"/>
    </row>
    <row r="1001">
      <c r="H1001" s="14"/>
      <c r="R1001" s="116"/>
      <c r="AC1001" s="116"/>
    </row>
    <row r="1002">
      <c r="H1002" s="14"/>
      <c r="R1002" s="116"/>
      <c r="AC1002" s="116"/>
    </row>
    <row r="1003">
      <c r="H1003" s="14"/>
      <c r="R1003" s="116"/>
      <c r="AC1003" s="116"/>
    </row>
    <row r="1004">
      <c r="H1004" s="14"/>
      <c r="R1004" s="116"/>
      <c r="AC1004" s="116"/>
    </row>
    <row r="1005">
      <c r="H1005" s="14"/>
      <c r="R1005" s="116"/>
      <c r="AC1005" s="116"/>
    </row>
    <row r="1006">
      <c r="H1006" s="14"/>
      <c r="R1006" s="116"/>
      <c r="AC1006" s="116"/>
    </row>
    <row r="1007">
      <c r="H1007" s="14"/>
      <c r="R1007" s="116"/>
      <c r="AC1007" s="116"/>
    </row>
    <row r="1008">
      <c r="H1008" s="14"/>
      <c r="R1008" s="116"/>
      <c r="AC1008" s="116"/>
    </row>
    <row r="1009">
      <c r="H1009" s="14"/>
      <c r="R1009" s="116"/>
      <c r="AC1009" s="116"/>
    </row>
    <row r="1010">
      <c r="H1010" s="14"/>
      <c r="R1010" s="116"/>
      <c r="AC1010" s="116"/>
    </row>
    <row r="1011">
      <c r="H1011" s="14"/>
      <c r="R1011" s="116"/>
      <c r="AC1011" s="116"/>
    </row>
    <row r="1012">
      <c r="H1012" s="14"/>
      <c r="R1012" s="116"/>
      <c r="AC1012" s="116"/>
    </row>
    <row r="1013">
      <c r="H1013" s="14"/>
      <c r="R1013" s="116"/>
      <c r="AC1013" s="11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7.63"/>
    <col customWidth="1" min="2" max="2" width="4.38"/>
    <col customWidth="1" min="3" max="3" width="17.88"/>
    <col customWidth="1" min="4" max="6" width="7.63"/>
    <col customWidth="1" min="7" max="7" width="9.38"/>
    <col customWidth="1" min="8" max="9" width="7.63"/>
    <col customWidth="1" min="10" max="10" width="9.38"/>
    <col customWidth="1" min="11" max="11" width="27.88"/>
    <col customWidth="1" min="12" max="12" width="9.38"/>
    <col customWidth="1" min="13" max="13" width="18.25"/>
  </cols>
  <sheetData>
    <row r="1">
      <c r="A1" s="2" t="s">
        <v>172</v>
      </c>
      <c r="B1" s="2" t="s">
        <v>408</v>
      </c>
      <c r="C1" s="2" t="s">
        <v>173</v>
      </c>
      <c r="D1" s="2" t="s">
        <v>375</v>
      </c>
      <c r="E1" s="2" t="s">
        <v>376</v>
      </c>
      <c r="F1" s="2" t="s">
        <v>377</v>
      </c>
      <c r="G1" s="2" t="s">
        <v>378</v>
      </c>
      <c r="H1" s="2" t="s">
        <v>379</v>
      </c>
      <c r="I1" s="2" t="s">
        <v>380</v>
      </c>
      <c r="J1" s="119" t="s">
        <v>381</v>
      </c>
      <c r="K1" s="2" t="s">
        <v>409</v>
      </c>
      <c r="L1" s="2" t="s">
        <v>383</v>
      </c>
      <c r="M1" s="2" t="s">
        <v>384</v>
      </c>
    </row>
    <row r="2">
      <c r="A2" s="2" t="s">
        <v>184</v>
      </c>
      <c r="B2" s="2">
        <v>1.0</v>
      </c>
      <c r="C2" s="2" t="s">
        <v>7</v>
      </c>
      <c r="D2" s="2">
        <v>330.0</v>
      </c>
      <c r="E2" s="2">
        <v>50.6</v>
      </c>
      <c r="F2" s="2">
        <v>24.7</v>
      </c>
      <c r="G2" s="2">
        <v>2.1</v>
      </c>
      <c r="H2" s="2">
        <v>22.0</v>
      </c>
      <c r="I2" s="2">
        <v>0.5</v>
      </c>
      <c r="J2" s="119">
        <v>81.51</v>
      </c>
      <c r="K2" s="13">
        <v>55.0</v>
      </c>
      <c r="L2" s="116">
        <v>0.6747638326585694</v>
      </c>
      <c r="M2" s="116">
        <v>0.6379585326953747</v>
      </c>
    </row>
    <row r="3">
      <c r="A3" s="2" t="s">
        <v>184</v>
      </c>
      <c r="B3" s="2">
        <v>2.0</v>
      </c>
      <c r="C3" s="2" t="s">
        <v>385</v>
      </c>
      <c r="D3" s="2">
        <v>1476.0</v>
      </c>
      <c r="E3" s="2">
        <v>53.2</v>
      </c>
      <c r="F3" s="2">
        <v>10.4</v>
      </c>
      <c r="G3" s="2">
        <v>5.4</v>
      </c>
      <c r="J3" s="119">
        <v>153.504</v>
      </c>
      <c r="K3" s="13">
        <v>82.0</v>
      </c>
      <c r="L3" s="116">
        <v>0.5341880341880342</v>
      </c>
      <c r="M3" s="116">
        <v>0.20846362309776945</v>
      </c>
    </row>
    <row r="4">
      <c r="A4" s="2" t="s">
        <v>184</v>
      </c>
      <c r="B4" s="2">
        <v>3.0</v>
      </c>
      <c r="C4" s="2" t="s">
        <v>313</v>
      </c>
      <c r="D4" s="2">
        <v>436.0</v>
      </c>
      <c r="E4" s="2">
        <v>14.3</v>
      </c>
      <c r="F4" s="2">
        <v>84.9</v>
      </c>
      <c r="G4" s="2">
        <v>0.7</v>
      </c>
      <c r="H4" s="2"/>
      <c r="I4" s="2">
        <v>0.2</v>
      </c>
      <c r="J4" s="119">
        <v>370.164</v>
      </c>
      <c r="K4" s="13">
        <v>139.0</v>
      </c>
      <c r="L4" s="116">
        <v>0.37550923374504275</v>
      </c>
      <c r="M4" s="116">
        <v>0.27015052787413146</v>
      </c>
    </row>
    <row r="5">
      <c r="A5" s="2" t="s">
        <v>184</v>
      </c>
      <c r="B5" s="2">
        <v>4.0</v>
      </c>
      <c r="C5" s="2" t="s">
        <v>212</v>
      </c>
      <c r="D5" s="2">
        <v>238.0</v>
      </c>
      <c r="E5" s="2">
        <v>32.2</v>
      </c>
      <c r="F5" s="2">
        <v>36.1</v>
      </c>
      <c r="G5" s="2">
        <v>8.7</v>
      </c>
      <c r="H5" s="2">
        <v>16.8</v>
      </c>
      <c r="I5" s="2">
        <v>3.8</v>
      </c>
      <c r="J5" s="119">
        <v>85.918</v>
      </c>
      <c r="K5" s="13">
        <v>31.0</v>
      </c>
      <c r="L5" s="116">
        <v>0.36080914360203914</v>
      </c>
      <c r="M5" s="116">
        <v>0.36080914360203914</v>
      </c>
    </row>
    <row r="6">
      <c r="A6" s="2" t="s">
        <v>184</v>
      </c>
      <c r="B6" s="2">
        <v>5.0</v>
      </c>
      <c r="C6" s="2" t="s">
        <v>214</v>
      </c>
      <c r="D6" s="2">
        <v>416.0</v>
      </c>
      <c r="E6" s="2">
        <v>58.2</v>
      </c>
      <c r="F6" s="2">
        <v>16.3</v>
      </c>
      <c r="G6" s="2">
        <v>15.4</v>
      </c>
      <c r="J6" s="119">
        <v>67.808</v>
      </c>
      <c r="K6" s="13">
        <v>21.0</v>
      </c>
      <c r="L6" s="116">
        <v>0.3096979707409155</v>
      </c>
      <c r="M6" s="116">
        <v>0.2654554034922133</v>
      </c>
    </row>
    <row r="7">
      <c r="A7" s="2" t="s">
        <v>184</v>
      </c>
      <c r="B7" s="2">
        <v>6.0</v>
      </c>
      <c r="C7" s="2" t="s">
        <v>386</v>
      </c>
      <c r="D7" s="2">
        <v>793.0</v>
      </c>
      <c r="E7" s="2">
        <v>15.4</v>
      </c>
      <c r="F7" s="2">
        <v>19.4</v>
      </c>
      <c r="G7" s="2">
        <v>23.1</v>
      </c>
      <c r="I7" s="2">
        <v>12.5</v>
      </c>
      <c r="J7" s="119">
        <v>153.84199999999998</v>
      </c>
      <c r="K7" s="13">
        <v>47.0</v>
      </c>
      <c r="L7" s="116">
        <v>0.30550824872271554</v>
      </c>
      <c r="M7" s="116">
        <v>0.17550473862794297</v>
      </c>
    </row>
    <row r="8">
      <c r="A8" s="2" t="s">
        <v>184</v>
      </c>
      <c r="B8" s="2">
        <v>7.0</v>
      </c>
      <c r="C8" s="2" t="s">
        <v>387</v>
      </c>
      <c r="D8" s="2">
        <v>440.0</v>
      </c>
      <c r="E8" s="2">
        <v>52.0</v>
      </c>
      <c r="F8" s="2">
        <v>13.0</v>
      </c>
      <c r="G8" s="2">
        <v>13.0</v>
      </c>
      <c r="J8" s="119">
        <v>57.2</v>
      </c>
      <c r="K8" s="13">
        <v>17.0</v>
      </c>
      <c r="L8" s="116">
        <v>0.2972027972027972</v>
      </c>
      <c r="M8" s="116">
        <v>0.24475524475524474</v>
      </c>
    </row>
    <row r="9">
      <c r="A9" s="2" t="s">
        <v>184</v>
      </c>
      <c r="B9" s="2">
        <v>8.0</v>
      </c>
      <c r="C9" s="2" t="s">
        <v>220</v>
      </c>
      <c r="D9" s="2">
        <v>1768.0</v>
      </c>
      <c r="E9" s="2">
        <v>36.3</v>
      </c>
      <c r="F9" s="2">
        <v>31.4</v>
      </c>
      <c r="G9" s="2">
        <v>15.1</v>
      </c>
      <c r="I9" s="2">
        <v>4.7</v>
      </c>
      <c r="J9" s="119">
        <v>555.1519999999999</v>
      </c>
      <c r="K9" s="13">
        <v>159.0</v>
      </c>
      <c r="L9" s="116">
        <v>0.2864080468051993</v>
      </c>
      <c r="M9" s="116">
        <v>0.16211776234256567</v>
      </c>
    </row>
    <row r="10">
      <c r="A10" s="2" t="s">
        <v>184</v>
      </c>
      <c r="B10" s="2">
        <v>9.0</v>
      </c>
      <c r="C10" s="2" t="s">
        <v>10</v>
      </c>
      <c r="D10" s="2">
        <v>573.0</v>
      </c>
      <c r="E10" s="2">
        <v>39.0</v>
      </c>
      <c r="F10" s="2">
        <v>27.5</v>
      </c>
      <c r="G10" s="2">
        <v>12.0</v>
      </c>
      <c r="H10" s="2">
        <v>12.9</v>
      </c>
      <c r="I10" s="2">
        <v>3.1</v>
      </c>
      <c r="J10" s="119">
        <v>157.575</v>
      </c>
      <c r="K10" s="13">
        <v>45.0</v>
      </c>
      <c r="L10" s="116">
        <v>0.28557829604950025</v>
      </c>
      <c r="M10" s="116">
        <v>0.22846263683960022</v>
      </c>
    </row>
    <row r="11">
      <c r="A11" s="2" t="s">
        <v>184</v>
      </c>
      <c r="B11" s="2">
        <v>10.0</v>
      </c>
      <c r="C11" s="2" t="s">
        <v>8</v>
      </c>
      <c r="D11" s="2">
        <v>790.0</v>
      </c>
      <c r="E11" s="2">
        <v>11.4</v>
      </c>
      <c r="F11" s="2">
        <v>73.1</v>
      </c>
      <c r="G11" s="2">
        <v>1.8</v>
      </c>
      <c r="H11" s="2">
        <v>10.8</v>
      </c>
      <c r="I11" s="2">
        <v>0.3</v>
      </c>
      <c r="J11" s="119">
        <v>577.4899999999999</v>
      </c>
      <c r="K11" s="13">
        <v>162.0</v>
      </c>
      <c r="L11" s="116">
        <v>0.2805243380837764</v>
      </c>
      <c r="M11" s="116">
        <v>0.23550191345304686</v>
      </c>
    </row>
    <row r="12">
      <c r="A12" s="2" t="s">
        <v>184</v>
      </c>
      <c r="B12" s="2">
        <v>11.0</v>
      </c>
      <c r="C12" s="2" t="s">
        <v>388</v>
      </c>
      <c r="D12" s="2">
        <v>655.0</v>
      </c>
      <c r="E12" s="2">
        <v>26.8</v>
      </c>
      <c r="F12" s="2">
        <v>38.9</v>
      </c>
      <c r="G12" s="2">
        <v>18.2</v>
      </c>
      <c r="J12" s="119">
        <v>254.795</v>
      </c>
      <c r="K12" s="13">
        <v>63.0</v>
      </c>
      <c r="L12" s="116">
        <v>0.24725759924645305</v>
      </c>
      <c r="M12" s="116">
        <v>0.21193508506838832</v>
      </c>
    </row>
    <row r="13">
      <c r="A13" s="2" t="s">
        <v>184</v>
      </c>
      <c r="B13" s="2">
        <v>12.0</v>
      </c>
      <c r="C13" s="2" t="s">
        <v>0</v>
      </c>
      <c r="D13" s="2">
        <v>370.0</v>
      </c>
      <c r="E13" s="2">
        <v>26.8</v>
      </c>
      <c r="F13" s="2">
        <v>24.3</v>
      </c>
      <c r="G13" s="2">
        <v>8.4</v>
      </c>
      <c r="I13" s="2">
        <v>12.4</v>
      </c>
      <c r="J13" s="119">
        <v>89.91</v>
      </c>
      <c r="K13" s="13">
        <v>22.0</v>
      </c>
      <c r="L13" s="116">
        <v>0.24468913357802247</v>
      </c>
      <c r="M13" s="116">
        <v>0.24468913357802247</v>
      </c>
    </row>
    <row r="14">
      <c r="A14" s="2" t="s">
        <v>184</v>
      </c>
      <c r="B14" s="2">
        <v>13.0</v>
      </c>
      <c r="C14" s="2" t="s">
        <v>342</v>
      </c>
      <c r="D14" s="2">
        <v>629.0</v>
      </c>
      <c r="E14" s="2">
        <v>66.8</v>
      </c>
      <c r="F14" s="2">
        <v>9.9</v>
      </c>
      <c r="G14" s="2"/>
      <c r="H14" s="2"/>
      <c r="I14" s="2"/>
      <c r="J14" s="119">
        <v>62.271</v>
      </c>
      <c r="K14" s="13">
        <v>15.0</v>
      </c>
      <c r="L14" s="116">
        <v>0.24088259382377028</v>
      </c>
      <c r="M14" s="116">
        <v>0.14452955629426217</v>
      </c>
    </row>
    <row r="15">
      <c r="A15" s="2" t="s">
        <v>184</v>
      </c>
      <c r="B15" s="2">
        <v>14.0</v>
      </c>
      <c r="C15" s="2" t="s">
        <v>390</v>
      </c>
      <c r="D15" s="2">
        <v>1625.0</v>
      </c>
      <c r="E15" s="2">
        <v>29.9</v>
      </c>
      <c r="F15" s="2">
        <v>31.8</v>
      </c>
      <c r="G15" s="2">
        <v>8.9</v>
      </c>
      <c r="J15" s="119">
        <v>516.75</v>
      </c>
      <c r="K15" s="13">
        <v>119.0</v>
      </c>
      <c r="L15" s="116">
        <v>0.23028543783260763</v>
      </c>
      <c r="M15" s="116">
        <v>0.1470730527334301</v>
      </c>
    </row>
    <row r="16">
      <c r="A16" s="2" t="s">
        <v>184</v>
      </c>
      <c r="B16" s="2">
        <v>15.0</v>
      </c>
      <c r="C16" s="2" t="s">
        <v>2</v>
      </c>
      <c r="D16" s="2">
        <v>345.0</v>
      </c>
      <c r="F16" s="2">
        <v>27.5</v>
      </c>
      <c r="J16" s="119">
        <v>94.875</v>
      </c>
      <c r="K16" s="13">
        <v>20.0</v>
      </c>
      <c r="L16" s="116">
        <v>0.21080368906455862</v>
      </c>
      <c r="M16" s="116">
        <v>0.17918313570487485</v>
      </c>
    </row>
    <row r="17">
      <c r="A17" s="2" t="s">
        <v>184</v>
      </c>
      <c r="B17" s="2">
        <v>16.0</v>
      </c>
      <c r="C17" s="2" t="s">
        <v>392</v>
      </c>
      <c r="D17" s="2">
        <v>1259.0</v>
      </c>
      <c r="E17" s="2">
        <v>49.2</v>
      </c>
      <c r="F17" s="2">
        <v>14.2</v>
      </c>
      <c r="I17" s="2">
        <v>21.4</v>
      </c>
      <c r="J17" s="119">
        <v>178.778</v>
      </c>
      <c r="K17" s="13">
        <v>36.0</v>
      </c>
      <c r="L17" s="116">
        <v>0.201367058586627</v>
      </c>
      <c r="M17" s="116">
        <v>0.134244705724418</v>
      </c>
    </row>
    <row r="18">
      <c r="A18" s="2" t="s">
        <v>184</v>
      </c>
      <c r="B18" s="2">
        <v>17.0</v>
      </c>
      <c r="C18" s="2" t="s">
        <v>393</v>
      </c>
      <c r="D18" s="2">
        <v>550.0</v>
      </c>
      <c r="E18" s="2">
        <v>62.0</v>
      </c>
      <c r="F18" s="2">
        <v>38.0</v>
      </c>
      <c r="J18" s="119">
        <v>209.0</v>
      </c>
      <c r="K18" s="13">
        <v>42.0</v>
      </c>
      <c r="L18" s="116">
        <v>0.20095693779904306</v>
      </c>
      <c r="M18" s="116">
        <v>0.12440191387559808</v>
      </c>
    </row>
    <row r="19">
      <c r="A19" s="2" t="s">
        <v>184</v>
      </c>
      <c r="B19" s="2">
        <v>18.0</v>
      </c>
      <c r="C19" s="2" t="s">
        <v>394</v>
      </c>
      <c r="D19" s="2">
        <v>390.0</v>
      </c>
      <c r="E19" s="2">
        <v>21.6</v>
      </c>
      <c r="F19" s="2">
        <v>19.0</v>
      </c>
      <c r="G19" s="2">
        <v>23.4</v>
      </c>
      <c r="I19" s="2">
        <v>12.7</v>
      </c>
      <c r="J19" s="119">
        <v>74.1</v>
      </c>
      <c r="K19" s="13">
        <v>14.0</v>
      </c>
      <c r="L19" s="116">
        <v>0.18893387314439947</v>
      </c>
      <c r="M19" s="116">
        <v>0.1484480431848853</v>
      </c>
    </row>
    <row r="20">
      <c r="A20" s="2" t="s">
        <v>184</v>
      </c>
      <c r="B20" s="2">
        <v>19.0</v>
      </c>
      <c r="C20" s="2" t="s">
        <v>219</v>
      </c>
      <c r="D20" s="2">
        <v>537.0</v>
      </c>
      <c r="E20" s="2">
        <v>33.1</v>
      </c>
      <c r="F20" s="2">
        <v>26.8</v>
      </c>
      <c r="I20" s="2">
        <v>6.0</v>
      </c>
      <c r="J20" s="119">
        <v>143.916</v>
      </c>
      <c r="K20" s="13">
        <v>24.0</v>
      </c>
      <c r="L20" s="116">
        <v>0.16676394563495373</v>
      </c>
      <c r="M20" s="116">
        <v>0.13896995469579476</v>
      </c>
    </row>
    <row r="21">
      <c r="A21" s="2" t="s">
        <v>184</v>
      </c>
      <c r="B21" s="2">
        <v>20.0</v>
      </c>
      <c r="C21" s="2" t="s">
        <v>396</v>
      </c>
      <c r="D21" s="2">
        <v>293.0</v>
      </c>
      <c r="E21" s="2">
        <v>7.8</v>
      </c>
      <c r="F21" s="2">
        <v>15.7</v>
      </c>
      <c r="G21" s="2">
        <v>75.1</v>
      </c>
      <c r="J21" s="119">
        <v>46.001</v>
      </c>
      <c r="K21" s="13">
        <v>7.0</v>
      </c>
      <c r="L21" s="116">
        <v>0.15217060498684812</v>
      </c>
      <c r="M21" s="116">
        <v>0.06521597356579205</v>
      </c>
    </row>
    <row r="22">
      <c r="A22" s="2" t="s">
        <v>184</v>
      </c>
      <c r="B22" s="2">
        <v>21.0</v>
      </c>
      <c r="C22" s="2" t="s">
        <v>12</v>
      </c>
      <c r="D22" s="2">
        <v>1760.0</v>
      </c>
      <c r="E22" s="2">
        <v>32.2</v>
      </c>
      <c r="F22" s="2">
        <v>38.6</v>
      </c>
      <c r="G22" s="2">
        <v>8.8</v>
      </c>
      <c r="J22" s="119">
        <v>679.36</v>
      </c>
      <c r="K22" s="13">
        <v>89.0</v>
      </c>
      <c r="L22" s="116">
        <v>0.13100565237870937</v>
      </c>
      <c r="M22" s="116">
        <v>0.07507065473386716</v>
      </c>
    </row>
    <row r="23">
      <c r="A23" s="2" t="s">
        <v>184</v>
      </c>
      <c r="B23" s="2">
        <v>22.0</v>
      </c>
      <c r="C23" s="2" t="s">
        <v>11</v>
      </c>
      <c r="D23" s="2">
        <v>1667.0</v>
      </c>
      <c r="E23" s="2">
        <v>39.5</v>
      </c>
      <c r="F23" s="2">
        <v>32.8</v>
      </c>
      <c r="G23" s="2">
        <v>16.4</v>
      </c>
      <c r="J23" s="119">
        <v>546.776</v>
      </c>
      <c r="K23" s="13">
        <v>62.0</v>
      </c>
      <c r="L23" s="116">
        <v>0.11339195575519044</v>
      </c>
      <c r="M23" s="116">
        <v>0.09144512560902454</v>
      </c>
    </row>
    <row r="24">
      <c r="A24" s="2" t="s">
        <v>184</v>
      </c>
      <c r="B24" s="2">
        <v>23.0</v>
      </c>
      <c r="C24" s="2" t="s">
        <v>399</v>
      </c>
      <c r="D24" s="2">
        <v>975.0</v>
      </c>
      <c r="E24" s="2">
        <v>17.5</v>
      </c>
      <c r="F24" s="2">
        <v>37.3</v>
      </c>
      <c r="J24" s="119">
        <v>363.675</v>
      </c>
      <c r="K24" s="13">
        <v>39.0</v>
      </c>
      <c r="L24" s="116">
        <v>0.10723860589812333</v>
      </c>
      <c r="M24" s="116">
        <v>0.06874269608854058</v>
      </c>
    </row>
    <row r="25">
      <c r="A25" s="2" t="s">
        <v>184</v>
      </c>
      <c r="B25" s="2">
        <v>24.0</v>
      </c>
      <c r="C25" s="2" t="s">
        <v>400</v>
      </c>
      <c r="D25" s="2">
        <v>870.0</v>
      </c>
      <c r="E25" s="2">
        <v>53.4</v>
      </c>
      <c r="F25" s="2">
        <v>13.9</v>
      </c>
      <c r="G25" s="2">
        <v>7.6</v>
      </c>
      <c r="J25" s="119">
        <v>120.93</v>
      </c>
      <c r="K25" s="13">
        <v>12.0</v>
      </c>
      <c r="L25" s="116">
        <v>0.09923096005953858</v>
      </c>
      <c r="M25" s="116">
        <v>0.07442322004465393</v>
      </c>
    </row>
    <row r="26">
      <c r="A26" s="2" t="s">
        <v>184</v>
      </c>
      <c r="B26" s="2">
        <v>25.0</v>
      </c>
      <c r="C26" s="2" t="s">
        <v>9</v>
      </c>
      <c r="D26" s="2">
        <v>900.0</v>
      </c>
      <c r="E26" s="2">
        <v>31.2</v>
      </c>
      <c r="F26" s="2">
        <v>18.6</v>
      </c>
      <c r="G26" s="2">
        <v>5.0</v>
      </c>
      <c r="I26" s="2">
        <v>9.9</v>
      </c>
      <c r="J26" s="119">
        <v>167.4</v>
      </c>
      <c r="K26" s="13">
        <v>16.0</v>
      </c>
      <c r="L26" s="116">
        <v>0.09557945041816009</v>
      </c>
      <c r="M26" s="116">
        <v>0.07168458781362007</v>
      </c>
    </row>
    <row r="27">
      <c r="A27" s="2" t="s">
        <v>184</v>
      </c>
      <c r="B27" s="2">
        <v>26.0</v>
      </c>
      <c r="C27" s="2" t="s">
        <v>401</v>
      </c>
      <c r="D27" s="2">
        <v>986.0</v>
      </c>
      <c r="E27" s="2">
        <v>25.9</v>
      </c>
      <c r="F27" s="2">
        <v>29.8</v>
      </c>
      <c r="J27" s="119">
        <v>293.828</v>
      </c>
      <c r="K27" s="13">
        <v>26.0</v>
      </c>
      <c r="L27" s="116">
        <v>0.0884871421375771</v>
      </c>
      <c r="M27" s="116">
        <v>0.07827708727554897</v>
      </c>
    </row>
    <row r="28">
      <c r="A28" s="2" t="s">
        <v>184</v>
      </c>
      <c r="B28" s="2">
        <v>27.0</v>
      </c>
      <c r="C28" s="2" t="s">
        <v>402</v>
      </c>
      <c r="D28" s="2">
        <v>1411.0</v>
      </c>
      <c r="E28" s="2">
        <v>23.4</v>
      </c>
      <c r="F28" s="2">
        <v>39.6</v>
      </c>
      <c r="G28" s="2">
        <v>17.7</v>
      </c>
      <c r="I28" s="2" t="s">
        <v>66</v>
      </c>
      <c r="J28" s="119">
        <v>558.756</v>
      </c>
      <c r="K28" s="13">
        <v>43.0</v>
      </c>
      <c r="L28" s="116">
        <v>0.07695666802683103</v>
      </c>
      <c r="M28" s="116">
        <v>0.035793799082246995</v>
      </c>
    </row>
    <row r="29">
      <c r="A29" s="2" t="s">
        <v>184</v>
      </c>
      <c r="B29" s="2">
        <v>28.0</v>
      </c>
      <c r="C29" s="2" t="s">
        <v>404</v>
      </c>
      <c r="D29" s="2">
        <v>988.0</v>
      </c>
      <c r="E29" s="2">
        <v>18.0</v>
      </c>
      <c r="F29" s="2">
        <v>60.0</v>
      </c>
      <c r="G29" s="2">
        <v>4.0</v>
      </c>
      <c r="J29" s="119">
        <v>592.8</v>
      </c>
      <c r="K29" s="13">
        <v>36.0</v>
      </c>
      <c r="L29" s="116">
        <v>0.06072874493927126</v>
      </c>
      <c r="M29" s="116">
        <v>0.04385964912280702</v>
      </c>
    </row>
    <row r="30">
      <c r="A30" s="2" t="s">
        <v>184</v>
      </c>
      <c r="B30" s="2">
        <v>29.0</v>
      </c>
      <c r="C30" s="2" t="s">
        <v>216</v>
      </c>
      <c r="D30" s="2">
        <v>200.0</v>
      </c>
      <c r="E30" s="2">
        <v>44.0</v>
      </c>
      <c r="F30" s="2">
        <v>38.9</v>
      </c>
      <c r="G30" s="2">
        <v>3.1</v>
      </c>
      <c r="H30" s="2">
        <v>13.7</v>
      </c>
      <c r="I30" s="2"/>
      <c r="J30" s="119">
        <v>77.8</v>
      </c>
      <c r="K30" s="13">
        <v>4.0</v>
      </c>
      <c r="L30" s="116">
        <v>0.05141388174807198</v>
      </c>
      <c r="M30" s="116">
        <v>0.05141388174807198</v>
      </c>
    </row>
    <row r="31">
      <c r="A31" s="2" t="s">
        <v>184</v>
      </c>
      <c r="B31" s="2">
        <v>30.0</v>
      </c>
      <c r="C31" s="2" t="s">
        <v>217</v>
      </c>
      <c r="D31" s="2">
        <v>426.0</v>
      </c>
      <c r="E31" s="2">
        <v>37.3</v>
      </c>
      <c r="F31" s="2">
        <v>30.3</v>
      </c>
      <c r="G31" s="2">
        <v>10.1</v>
      </c>
      <c r="J31" s="119">
        <v>129.078</v>
      </c>
      <c r="K31" s="13">
        <v>6.0</v>
      </c>
      <c r="L31" s="116">
        <v>0.04648352159159578</v>
      </c>
      <c r="M31" s="116">
        <v>0.04648352159159578</v>
      </c>
    </row>
    <row r="32">
      <c r="A32" s="2" t="s">
        <v>184</v>
      </c>
      <c r="B32" s="2">
        <v>31.0</v>
      </c>
      <c r="C32" s="2" t="s">
        <v>405</v>
      </c>
      <c r="D32" s="2">
        <v>680.0</v>
      </c>
      <c r="E32" s="2">
        <v>49.3</v>
      </c>
      <c r="F32" s="2">
        <v>11.3</v>
      </c>
      <c r="I32" s="2">
        <v>9.9</v>
      </c>
      <c r="J32" s="119">
        <v>76.84</v>
      </c>
      <c r="K32" s="13">
        <v>3.0</v>
      </c>
      <c r="L32" s="116">
        <v>0.039042165538781884</v>
      </c>
      <c r="M32" s="116">
        <v>0.039042165538781884</v>
      </c>
    </row>
    <row r="33">
      <c r="A33" s="2" t="s">
        <v>184</v>
      </c>
      <c r="B33" s="2">
        <v>32.0</v>
      </c>
      <c r="C33" s="2" t="s">
        <v>6</v>
      </c>
      <c r="D33" s="2">
        <v>420.0</v>
      </c>
      <c r="F33" s="2">
        <v>65.0</v>
      </c>
      <c r="G33" s="2">
        <v>30.0</v>
      </c>
      <c r="I33" s="2">
        <v>9.0</v>
      </c>
      <c r="J33" s="119">
        <v>273.0</v>
      </c>
      <c r="K33" s="13">
        <v>9.0</v>
      </c>
      <c r="L33" s="116">
        <v>0.03296703296703297</v>
      </c>
      <c r="M33" s="116">
        <v>0.03296703296703297</v>
      </c>
    </row>
    <row r="34">
      <c r="A34" s="2" t="s">
        <v>184</v>
      </c>
      <c r="B34" s="2">
        <v>33.0</v>
      </c>
      <c r="C34" s="2" t="s">
        <v>407</v>
      </c>
      <c r="D34" s="2">
        <v>558.0</v>
      </c>
      <c r="F34" s="2">
        <v>74.6</v>
      </c>
      <c r="J34" s="119">
        <v>416.268</v>
      </c>
      <c r="K34" s="13">
        <v>6.0</v>
      </c>
      <c r="L34" s="116">
        <v>0.014413791115339157</v>
      </c>
      <c r="M34" s="116">
        <v>0.014413791115339157</v>
      </c>
    </row>
    <row r="35">
      <c r="A35" s="2" t="s">
        <v>172</v>
      </c>
      <c r="B35" s="2" t="s">
        <v>408</v>
      </c>
      <c r="C35" s="2" t="s">
        <v>173</v>
      </c>
      <c r="D35" s="2" t="s">
        <v>375</v>
      </c>
      <c r="E35" s="2" t="s">
        <v>376</v>
      </c>
      <c r="F35" s="2" t="s">
        <v>377</v>
      </c>
      <c r="G35" s="2" t="s">
        <v>378</v>
      </c>
      <c r="H35" s="2" t="s">
        <v>379</v>
      </c>
      <c r="I35" s="2" t="s">
        <v>380</v>
      </c>
      <c r="J35" s="119" t="s">
        <v>381</v>
      </c>
      <c r="K35" s="2" t="s">
        <v>409</v>
      </c>
      <c r="L35" s="2" t="s">
        <v>383</v>
      </c>
      <c r="M35" s="2" t="s">
        <v>384</v>
      </c>
    </row>
    <row r="36">
      <c r="A36" s="2" t="s">
        <v>186</v>
      </c>
      <c r="B36" s="2">
        <v>1.0</v>
      </c>
      <c r="C36" s="2" t="s">
        <v>322</v>
      </c>
      <c r="D36" s="2">
        <v>814.0</v>
      </c>
      <c r="E36" s="2">
        <v>60.3</v>
      </c>
      <c r="F36" s="2">
        <v>12.0</v>
      </c>
      <c r="G36" s="2">
        <v>9.6</v>
      </c>
      <c r="H36" s="2">
        <v>17.0</v>
      </c>
      <c r="I36" s="2">
        <v>1.1</v>
      </c>
      <c r="J36" s="119">
        <v>97.68</v>
      </c>
      <c r="K36" s="13">
        <v>47.0</v>
      </c>
      <c r="L36" s="116">
        <v>0.4811629811629811</v>
      </c>
      <c r="M36" s="116">
        <v>0.26617526617526616</v>
      </c>
    </row>
    <row r="37">
      <c r="A37" s="2" t="s">
        <v>186</v>
      </c>
      <c r="B37" s="2">
        <v>2.0</v>
      </c>
      <c r="C37" s="2" t="s">
        <v>333</v>
      </c>
      <c r="D37" s="2">
        <v>3222.0</v>
      </c>
      <c r="E37" s="2">
        <v>43.4</v>
      </c>
      <c r="F37" s="2">
        <v>7.8</v>
      </c>
      <c r="G37" s="2">
        <v>20.9</v>
      </c>
      <c r="H37" s="2">
        <v>15.1</v>
      </c>
      <c r="I37" s="2">
        <v>12.4</v>
      </c>
      <c r="J37" s="119">
        <v>251.31599999999997</v>
      </c>
      <c r="K37" s="13">
        <v>84.0</v>
      </c>
      <c r="L37" s="116">
        <v>0.3342405577042449</v>
      </c>
      <c r="M37" s="116">
        <v>0.13926689904343537</v>
      </c>
    </row>
    <row r="38">
      <c r="A38" s="2" t="s">
        <v>186</v>
      </c>
      <c r="B38" s="2">
        <v>3.0</v>
      </c>
      <c r="C38" s="2" t="s">
        <v>17</v>
      </c>
      <c r="D38" s="2">
        <v>1159.0</v>
      </c>
      <c r="E38" s="2">
        <v>21.5</v>
      </c>
      <c r="F38" s="2">
        <v>58.7</v>
      </c>
      <c r="G38" s="2">
        <v>7.0</v>
      </c>
      <c r="H38" s="2">
        <v>12.2</v>
      </c>
      <c r="I38" s="2"/>
      <c r="J38" s="119">
        <v>680.3330000000001</v>
      </c>
      <c r="K38" s="13">
        <v>188.0</v>
      </c>
      <c r="L38" s="116">
        <v>0.2763352652304092</v>
      </c>
      <c r="M38" s="116">
        <v>0.14992658007181775</v>
      </c>
    </row>
    <row r="39">
      <c r="A39" s="2" t="s">
        <v>186</v>
      </c>
      <c r="B39" s="2">
        <v>4.0</v>
      </c>
      <c r="C39" s="2" t="s">
        <v>323</v>
      </c>
      <c r="D39" s="2">
        <v>1183.0</v>
      </c>
      <c r="E39" s="2">
        <v>60.8</v>
      </c>
      <c r="F39" s="2">
        <v>22.8</v>
      </c>
      <c r="G39" s="2">
        <v>7.8</v>
      </c>
      <c r="H39" s="2">
        <v>6.6</v>
      </c>
      <c r="I39" s="2">
        <v>1.0</v>
      </c>
      <c r="J39" s="119">
        <v>269.724</v>
      </c>
      <c r="K39" s="13">
        <v>72.0</v>
      </c>
      <c r="L39" s="116">
        <v>0.2669395381945989</v>
      </c>
      <c r="M39" s="116">
        <v>0.18166718571576873</v>
      </c>
    </row>
    <row r="40">
      <c r="A40" s="2" t="s">
        <v>186</v>
      </c>
      <c r="B40" s="2">
        <v>5.0</v>
      </c>
      <c r="C40" s="2" t="s">
        <v>324</v>
      </c>
      <c r="D40" s="2">
        <v>2652.0</v>
      </c>
      <c r="E40" s="2">
        <v>17.7</v>
      </c>
      <c r="F40" s="2">
        <v>55.0</v>
      </c>
      <c r="G40" s="2">
        <v>14.1</v>
      </c>
      <c r="H40" s="2">
        <v>10.7</v>
      </c>
      <c r="I40" s="2">
        <v>1.9</v>
      </c>
      <c r="J40" s="119">
        <v>1458.6</v>
      </c>
      <c r="K40" s="13">
        <v>379.0</v>
      </c>
      <c r="L40" s="116">
        <v>0.25983820101467164</v>
      </c>
      <c r="M40" s="116">
        <v>0.10558069381598795</v>
      </c>
    </row>
    <row r="41">
      <c r="A41" s="2" t="s">
        <v>186</v>
      </c>
      <c r="B41" s="2">
        <v>6.0</v>
      </c>
      <c r="C41" s="2" t="s">
        <v>314</v>
      </c>
      <c r="D41" s="2">
        <v>352.0</v>
      </c>
      <c r="E41" s="2">
        <v>29.3</v>
      </c>
      <c r="F41" s="2">
        <v>29.3</v>
      </c>
      <c r="G41" s="2">
        <v>6.1</v>
      </c>
      <c r="H41" s="2">
        <v>24.2</v>
      </c>
      <c r="I41" s="2">
        <v>2.2</v>
      </c>
      <c r="J41" s="119">
        <v>103.13600000000001</v>
      </c>
      <c r="K41" s="13">
        <v>26.0</v>
      </c>
      <c r="L41" s="116">
        <v>0.25209432206019233</v>
      </c>
      <c r="M41" s="116">
        <v>0.2230065156686317</v>
      </c>
    </row>
    <row r="42">
      <c r="A42" s="2" t="s">
        <v>186</v>
      </c>
      <c r="B42" s="2">
        <v>7.0</v>
      </c>
      <c r="C42" s="2" t="s">
        <v>389</v>
      </c>
      <c r="D42" s="2">
        <v>1644.0</v>
      </c>
      <c r="E42" s="2">
        <v>67.6</v>
      </c>
      <c r="F42" s="2">
        <v>5.7</v>
      </c>
      <c r="G42" s="2">
        <v>11.5</v>
      </c>
      <c r="J42" s="119">
        <v>93.70800000000001</v>
      </c>
      <c r="K42" s="13">
        <v>23.0</v>
      </c>
      <c r="L42" s="116">
        <v>0.2454432919281171</v>
      </c>
      <c r="M42" s="116">
        <v>0.21342894950271052</v>
      </c>
    </row>
    <row r="43">
      <c r="A43" s="2" t="s">
        <v>186</v>
      </c>
      <c r="B43" s="2">
        <v>8.0</v>
      </c>
      <c r="C43" s="2" t="s">
        <v>13</v>
      </c>
      <c r="D43" s="2">
        <v>1868.0</v>
      </c>
      <c r="E43" s="2">
        <v>30.6</v>
      </c>
      <c r="F43" s="2">
        <v>45.7</v>
      </c>
      <c r="G43" s="2">
        <v>11.7</v>
      </c>
      <c r="H43" s="2">
        <v>10.0</v>
      </c>
      <c r="I43" s="2">
        <v>1.4</v>
      </c>
      <c r="J43" s="119">
        <v>853.676</v>
      </c>
      <c r="K43" s="13">
        <v>209.0</v>
      </c>
      <c r="L43" s="116">
        <v>0.24482356303796754</v>
      </c>
      <c r="M43" s="116">
        <v>0.15931102666585448</v>
      </c>
    </row>
    <row r="44">
      <c r="A44" s="2" t="s">
        <v>186</v>
      </c>
      <c r="B44" s="2">
        <v>9.0</v>
      </c>
      <c r="C44" s="2" t="s">
        <v>19</v>
      </c>
      <c r="D44" s="2">
        <v>2136.0</v>
      </c>
      <c r="E44" s="2">
        <v>35.3</v>
      </c>
      <c r="F44" s="2">
        <v>28.9</v>
      </c>
      <c r="G44" s="2">
        <v>27.4</v>
      </c>
      <c r="H44" s="2">
        <v>6.3</v>
      </c>
      <c r="I44" s="2">
        <v>1.0</v>
      </c>
      <c r="J44" s="119">
        <v>617.304</v>
      </c>
      <c r="K44" s="13">
        <v>150.0</v>
      </c>
      <c r="L44" s="116">
        <v>0.24299210761634463</v>
      </c>
      <c r="M44" s="116">
        <v>0.12149605380817231</v>
      </c>
    </row>
    <row r="45">
      <c r="A45" s="2" t="s">
        <v>186</v>
      </c>
      <c r="B45" s="2">
        <v>10.0</v>
      </c>
      <c r="C45" s="2" t="s">
        <v>325</v>
      </c>
      <c r="D45" s="2">
        <v>1187.0</v>
      </c>
      <c r="E45" s="2">
        <v>31.3</v>
      </c>
      <c r="F45" s="2">
        <v>30.9</v>
      </c>
      <c r="G45" s="2">
        <v>16.0</v>
      </c>
      <c r="H45" s="2">
        <v>16.8</v>
      </c>
      <c r="I45" s="2">
        <v>4.6</v>
      </c>
      <c r="J45" s="119">
        <v>366.78299999999996</v>
      </c>
      <c r="K45" s="13">
        <v>85.0</v>
      </c>
      <c r="L45" s="116">
        <v>0.23174465555928167</v>
      </c>
      <c r="M45" s="116">
        <v>0.10087708536109909</v>
      </c>
    </row>
    <row r="46">
      <c r="A46" s="2" t="s">
        <v>186</v>
      </c>
      <c r="B46" s="2">
        <v>11.0</v>
      </c>
      <c r="C46" s="2" t="s">
        <v>330</v>
      </c>
      <c r="D46" s="2">
        <v>1757.0</v>
      </c>
      <c r="E46" s="2">
        <v>30.2</v>
      </c>
      <c r="F46" s="2">
        <v>27.3</v>
      </c>
      <c r="G46" s="2">
        <v>26.6</v>
      </c>
      <c r="H46" s="2">
        <v>12.7</v>
      </c>
      <c r="I46" s="2">
        <v>0.3</v>
      </c>
      <c r="J46" s="119">
        <v>479.661</v>
      </c>
      <c r="K46" s="13">
        <v>108.0</v>
      </c>
      <c r="L46" s="116">
        <v>0.22515901855685577</v>
      </c>
      <c r="M46" s="116">
        <v>0.09381625773202325</v>
      </c>
    </row>
    <row r="47">
      <c r="A47" s="2" t="s">
        <v>186</v>
      </c>
      <c r="B47" s="2">
        <v>12.0</v>
      </c>
      <c r="C47" s="2" t="s">
        <v>14</v>
      </c>
      <c r="D47" s="2">
        <v>2010.0</v>
      </c>
      <c r="E47" s="2">
        <v>38.4</v>
      </c>
      <c r="F47" s="2">
        <v>35.4</v>
      </c>
      <c r="G47" s="2">
        <v>13.7</v>
      </c>
      <c r="H47" s="2">
        <v>9.9</v>
      </c>
      <c r="I47" s="2">
        <v>1.6</v>
      </c>
      <c r="J47" s="119">
        <v>711.54</v>
      </c>
      <c r="K47" s="13">
        <v>156.0</v>
      </c>
      <c r="L47" s="116">
        <v>0.21924276920482336</v>
      </c>
      <c r="M47" s="116">
        <v>0.1461618461365489</v>
      </c>
    </row>
    <row r="48">
      <c r="A48" s="2" t="s">
        <v>186</v>
      </c>
      <c r="B48" s="2">
        <v>13.0</v>
      </c>
      <c r="C48" s="2" t="s">
        <v>188</v>
      </c>
      <c r="D48" s="2">
        <v>2221.0</v>
      </c>
      <c r="E48" s="2">
        <v>39.7</v>
      </c>
      <c r="F48" s="2">
        <v>8.1</v>
      </c>
      <c r="G48" s="2">
        <v>38.8</v>
      </c>
      <c r="H48" s="2">
        <v>4.1</v>
      </c>
      <c r="I48" s="2">
        <v>4.7</v>
      </c>
      <c r="J48" s="119">
        <v>179.90099999999998</v>
      </c>
      <c r="K48" s="13">
        <v>39.0</v>
      </c>
      <c r="L48" s="116">
        <v>0.21678589891106778</v>
      </c>
      <c r="M48" s="116">
        <v>0.1222894814370126</v>
      </c>
    </row>
    <row r="49">
      <c r="A49" s="2" t="s">
        <v>186</v>
      </c>
      <c r="B49" s="2">
        <v>14.0</v>
      </c>
      <c r="C49" s="2" t="s">
        <v>391</v>
      </c>
      <c r="D49" s="2">
        <v>550.0</v>
      </c>
      <c r="E49" s="2">
        <v>25.4</v>
      </c>
      <c r="F49" s="2">
        <v>32.9</v>
      </c>
      <c r="G49" s="2">
        <v>22.1</v>
      </c>
      <c r="J49" s="119">
        <v>180.95</v>
      </c>
      <c r="K49" s="13">
        <v>39.0</v>
      </c>
      <c r="L49" s="116">
        <v>0.21552915169936449</v>
      </c>
      <c r="M49" s="116">
        <v>0.17684443216358112</v>
      </c>
    </row>
    <row r="50">
      <c r="A50" s="2" t="s">
        <v>186</v>
      </c>
      <c r="B50" s="2">
        <v>15.0</v>
      </c>
      <c r="C50" s="2" t="s">
        <v>316</v>
      </c>
      <c r="D50" s="2">
        <v>1839.0</v>
      </c>
      <c r="E50" s="2">
        <v>9.1</v>
      </c>
      <c r="F50" s="2">
        <v>78.4</v>
      </c>
      <c r="G50" s="2">
        <v>3.9</v>
      </c>
      <c r="H50" s="2">
        <v>8.2</v>
      </c>
      <c r="I50" s="2">
        <v>0.2</v>
      </c>
      <c r="J50" s="119">
        <v>1441.776</v>
      </c>
      <c r="K50" s="13">
        <v>305.0</v>
      </c>
      <c r="L50" s="116">
        <v>0.21154465048662205</v>
      </c>
      <c r="M50" s="116">
        <v>0.10126399662638301</v>
      </c>
    </row>
    <row r="51">
      <c r="A51" s="2" t="s">
        <v>186</v>
      </c>
      <c r="B51" s="2">
        <v>16.0</v>
      </c>
      <c r="C51" s="2" t="s">
        <v>23</v>
      </c>
      <c r="D51" s="2">
        <v>2127.0</v>
      </c>
      <c r="E51" s="2">
        <v>57.8</v>
      </c>
      <c r="F51" s="2">
        <v>16.7</v>
      </c>
      <c r="G51" s="2">
        <v>9.7</v>
      </c>
      <c r="H51" s="2">
        <v>14.1</v>
      </c>
      <c r="I51" s="2">
        <v>0.3</v>
      </c>
      <c r="J51" s="119">
        <v>355.209</v>
      </c>
      <c r="K51" s="13">
        <v>70.0</v>
      </c>
      <c r="L51" s="116">
        <v>0.19706707881838578</v>
      </c>
      <c r="M51" s="116">
        <v>0.0844573194935939</v>
      </c>
    </row>
    <row r="52">
      <c r="A52" s="2" t="s">
        <v>186</v>
      </c>
      <c r="B52" s="2">
        <v>17.0</v>
      </c>
      <c r="C52" s="2" t="s">
        <v>334</v>
      </c>
      <c r="D52" s="2">
        <v>1669.0</v>
      </c>
      <c r="E52" s="2">
        <v>18.6</v>
      </c>
      <c r="F52" s="2">
        <v>26.5</v>
      </c>
      <c r="G52" s="2">
        <v>45.1</v>
      </c>
      <c r="H52" s="2">
        <v>7.1</v>
      </c>
      <c r="I52" s="2">
        <v>0.8</v>
      </c>
      <c r="J52" s="119">
        <v>442.285</v>
      </c>
      <c r="K52" s="13">
        <v>83.0</v>
      </c>
      <c r="L52" s="116">
        <v>0.18766180177939562</v>
      </c>
      <c r="M52" s="116">
        <v>0.07009055247182246</v>
      </c>
    </row>
    <row r="53">
      <c r="A53" s="2" t="s">
        <v>186</v>
      </c>
      <c r="B53" s="2">
        <v>18.0</v>
      </c>
      <c r="C53" s="2" t="s">
        <v>395</v>
      </c>
      <c r="D53" s="2">
        <v>2470.0</v>
      </c>
      <c r="E53" s="2">
        <v>25.7</v>
      </c>
      <c r="F53" s="2">
        <v>5.9</v>
      </c>
      <c r="G53" s="2">
        <v>61.9</v>
      </c>
      <c r="J53" s="119">
        <v>145.73</v>
      </c>
      <c r="K53" s="13">
        <v>27.0</v>
      </c>
      <c r="L53" s="116">
        <v>0.18527413710286147</v>
      </c>
      <c r="M53" s="116">
        <v>0.09606807109037262</v>
      </c>
    </row>
    <row r="54">
      <c r="A54" s="2" t="s">
        <v>186</v>
      </c>
      <c r="B54" s="2">
        <v>19.0</v>
      </c>
      <c r="C54" s="2" t="s">
        <v>331</v>
      </c>
      <c r="D54" s="2">
        <v>1530.0</v>
      </c>
      <c r="E54" s="2">
        <v>44.4</v>
      </c>
      <c r="F54" s="2">
        <v>23.5</v>
      </c>
      <c r="G54" s="2">
        <v>21.3</v>
      </c>
      <c r="H54" s="2">
        <v>9.7</v>
      </c>
      <c r="I54" s="2">
        <v>0.7</v>
      </c>
      <c r="J54" s="119">
        <v>359.55</v>
      </c>
      <c r="K54" s="13">
        <v>66.0</v>
      </c>
      <c r="L54" s="116">
        <v>0.1835627868168544</v>
      </c>
      <c r="M54" s="116">
        <v>0.0917813934084272</v>
      </c>
    </row>
    <row r="55">
      <c r="A55" s="2" t="s">
        <v>186</v>
      </c>
      <c r="B55" s="2">
        <v>20.0</v>
      </c>
      <c r="C55" s="2" t="s">
        <v>326</v>
      </c>
      <c r="D55" s="2">
        <v>2316.0</v>
      </c>
      <c r="E55" s="2">
        <v>37.7</v>
      </c>
      <c r="F55" s="2">
        <v>26.2</v>
      </c>
      <c r="G55" s="2">
        <v>23.0</v>
      </c>
      <c r="H55" s="2">
        <v>10.4</v>
      </c>
      <c r="I55" s="2">
        <v>1.6</v>
      </c>
      <c r="J55" s="119">
        <v>606.7919999999999</v>
      </c>
      <c r="K55" s="13">
        <v>111.0</v>
      </c>
      <c r="L55" s="116">
        <v>0.18292924099197092</v>
      </c>
      <c r="M55" s="116">
        <v>0.09723265962636292</v>
      </c>
    </row>
    <row r="56">
      <c r="A56" s="2" t="s">
        <v>186</v>
      </c>
      <c r="B56" s="2">
        <v>21.0</v>
      </c>
      <c r="C56" s="2" t="s">
        <v>336</v>
      </c>
      <c r="D56" s="2">
        <v>1274.0</v>
      </c>
      <c r="E56" s="2">
        <v>68.6</v>
      </c>
      <c r="F56" s="2">
        <v>11.2</v>
      </c>
      <c r="G56" s="2">
        <v>9.3</v>
      </c>
      <c r="H56" s="2">
        <v>9.7</v>
      </c>
      <c r="J56" s="119">
        <v>142.688</v>
      </c>
      <c r="K56" s="13">
        <v>26.0</v>
      </c>
      <c r="L56" s="116">
        <v>0.18221574344023325</v>
      </c>
      <c r="M56" s="116">
        <v>0.07709127607086791</v>
      </c>
    </row>
    <row r="57">
      <c r="A57" s="2" t="s">
        <v>186</v>
      </c>
      <c r="B57" s="2">
        <v>22.0</v>
      </c>
      <c r="C57" s="2" t="s">
        <v>15</v>
      </c>
      <c r="D57" s="2">
        <v>1781.0</v>
      </c>
      <c r="E57" s="2">
        <v>7.2</v>
      </c>
      <c r="F57" s="2">
        <v>80.1</v>
      </c>
      <c r="G57" s="2">
        <v>3.0</v>
      </c>
      <c r="H57" s="2">
        <v>8.8</v>
      </c>
      <c r="I57" s="2">
        <v>0.4</v>
      </c>
      <c r="J57" s="119">
        <v>1426.5809999999997</v>
      </c>
      <c r="K57" s="13">
        <v>253.0</v>
      </c>
      <c r="L57" s="116">
        <v>0.1773470977112411</v>
      </c>
      <c r="M57" s="116">
        <v>0.08972501386181368</v>
      </c>
    </row>
    <row r="58">
      <c r="A58" s="2" t="s">
        <v>186</v>
      </c>
      <c r="B58" s="2">
        <v>23.0</v>
      </c>
      <c r="C58" s="2" t="s">
        <v>337</v>
      </c>
      <c r="D58" s="2">
        <v>2305.0</v>
      </c>
      <c r="E58" s="2">
        <v>50.1</v>
      </c>
      <c r="F58" s="2">
        <v>29.9</v>
      </c>
      <c r="G58" s="2">
        <v>9.0</v>
      </c>
      <c r="H58" s="2">
        <v>9.8</v>
      </c>
      <c r="J58" s="119">
        <v>689.195</v>
      </c>
      <c r="K58" s="13">
        <v>122.0</v>
      </c>
      <c r="L58" s="116">
        <v>0.1770181153374589</v>
      </c>
      <c r="M58" s="116">
        <v>0.0754503442421956</v>
      </c>
    </row>
    <row r="59">
      <c r="A59" s="2" t="s">
        <v>186</v>
      </c>
      <c r="B59" s="2">
        <v>24.0</v>
      </c>
      <c r="C59" s="2" t="s">
        <v>21</v>
      </c>
      <c r="D59" s="2">
        <v>1676.0</v>
      </c>
      <c r="E59" s="2">
        <v>32.3</v>
      </c>
      <c r="F59" s="2">
        <v>48.4</v>
      </c>
      <c r="G59" s="2">
        <v>9.8</v>
      </c>
      <c r="H59" s="2">
        <v>8.4</v>
      </c>
      <c r="I59" s="2">
        <v>0.8</v>
      </c>
      <c r="J59" s="119">
        <v>811.184</v>
      </c>
      <c r="K59" s="13">
        <v>141.0</v>
      </c>
      <c r="L59" s="116">
        <v>0.1738199964496341</v>
      </c>
      <c r="M59" s="116">
        <v>0.07026765813921379</v>
      </c>
    </row>
    <row r="60">
      <c r="A60" s="2" t="s">
        <v>186</v>
      </c>
      <c r="B60" s="2">
        <v>25.0</v>
      </c>
      <c r="C60" s="2" t="s">
        <v>318</v>
      </c>
      <c r="D60" s="2">
        <v>2321.0</v>
      </c>
      <c r="E60" s="2">
        <v>25.6</v>
      </c>
      <c r="F60" s="2">
        <v>43.6</v>
      </c>
      <c r="G60" s="2">
        <v>17.8</v>
      </c>
      <c r="H60" s="2">
        <v>11.5</v>
      </c>
      <c r="I60" s="2">
        <v>0.9</v>
      </c>
      <c r="J60" s="119">
        <v>1011.956</v>
      </c>
      <c r="K60" s="13">
        <v>172.0</v>
      </c>
      <c r="L60" s="116">
        <v>0.1699678642154402</v>
      </c>
      <c r="M60" s="116">
        <v>0.07213752376585543</v>
      </c>
    </row>
    <row r="61">
      <c r="A61" s="2" t="s">
        <v>186</v>
      </c>
      <c r="B61" s="2">
        <v>26.0</v>
      </c>
      <c r="C61" s="2" t="s">
        <v>328</v>
      </c>
      <c r="D61" s="2">
        <v>2302.0</v>
      </c>
      <c r="E61" s="2">
        <v>48.2</v>
      </c>
      <c r="F61" s="2">
        <v>30.3</v>
      </c>
      <c r="G61" s="2">
        <v>13.8</v>
      </c>
      <c r="H61" s="2">
        <v>5.3</v>
      </c>
      <c r="I61" s="2">
        <v>1.1</v>
      </c>
      <c r="J61" s="119">
        <v>697.5060000000001</v>
      </c>
      <c r="K61" s="13">
        <v>118.0</v>
      </c>
      <c r="L61" s="116">
        <v>0.16917417197844892</v>
      </c>
      <c r="M61" s="116">
        <v>0.0688166123302165</v>
      </c>
    </row>
    <row r="62">
      <c r="A62" s="2" t="s">
        <v>186</v>
      </c>
      <c r="B62" s="2">
        <v>27.0</v>
      </c>
      <c r="C62" s="2" t="s">
        <v>27</v>
      </c>
      <c r="D62" s="2">
        <v>1767.0</v>
      </c>
      <c r="E62" s="2">
        <v>46.1</v>
      </c>
      <c r="F62" s="2">
        <v>26.2</v>
      </c>
      <c r="G62" s="2">
        <v>16.2</v>
      </c>
      <c r="H62" s="2">
        <v>10.4</v>
      </c>
      <c r="I62" s="2">
        <v>0.6</v>
      </c>
      <c r="J62" s="119">
        <v>462.954</v>
      </c>
      <c r="K62" s="13">
        <v>73.0</v>
      </c>
      <c r="L62" s="116">
        <v>0.15768305274390113</v>
      </c>
      <c r="M62" s="116">
        <v>0.07992154728115536</v>
      </c>
    </row>
    <row r="63">
      <c r="A63" s="2" t="s">
        <v>186</v>
      </c>
      <c r="B63" s="2">
        <v>28.0</v>
      </c>
      <c r="C63" s="2" t="s">
        <v>187</v>
      </c>
      <c r="D63" s="2">
        <v>3340.0</v>
      </c>
      <c r="E63" s="2">
        <v>9.2</v>
      </c>
      <c r="F63" s="2">
        <v>78.6</v>
      </c>
      <c r="G63" s="2">
        <v>4.1</v>
      </c>
      <c r="H63" s="2">
        <v>4.9</v>
      </c>
      <c r="I63" s="2">
        <v>2.9</v>
      </c>
      <c r="J63" s="119">
        <v>2625.24</v>
      </c>
      <c r="K63" s="13">
        <v>410.0</v>
      </c>
      <c r="L63" s="116">
        <v>0.15617619722387288</v>
      </c>
      <c r="M63" s="116">
        <v>0.08342094437080039</v>
      </c>
    </row>
    <row r="64">
      <c r="A64" s="2" t="s">
        <v>186</v>
      </c>
      <c r="B64" s="2">
        <v>29.0</v>
      </c>
      <c r="C64" s="2" t="s">
        <v>26</v>
      </c>
      <c r="D64" s="2">
        <v>1496.0</v>
      </c>
      <c r="E64" s="2">
        <v>48.3</v>
      </c>
      <c r="F64" s="2">
        <v>19.1</v>
      </c>
      <c r="G64" s="2">
        <v>15.4</v>
      </c>
      <c r="H64" s="2">
        <v>15.0</v>
      </c>
      <c r="I64" s="2">
        <v>1.3</v>
      </c>
      <c r="J64" s="119">
        <v>285.73600000000005</v>
      </c>
      <c r="K64" s="13">
        <v>44.0</v>
      </c>
      <c r="L64" s="116">
        <v>0.15398829688943638</v>
      </c>
      <c r="M64" s="116">
        <v>0.07699414844471819</v>
      </c>
    </row>
    <row r="65">
      <c r="A65" s="2" t="s">
        <v>186</v>
      </c>
      <c r="B65" s="2">
        <v>30.0</v>
      </c>
      <c r="C65" s="2" t="s">
        <v>355</v>
      </c>
      <c r="D65" s="2">
        <v>2699.0</v>
      </c>
      <c r="E65" s="2">
        <v>36.6</v>
      </c>
      <c r="F65" s="2">
        <v>46.6</v>
      </c>
      <c r="G65" s="2">
        <v>10.2</v>
      </c>
      <c r="H65" s="2">
        <v>5.4</v>
      </c>
      <c r="I65" s="2">
        <v>0.9</v>
      </c>
      <c r="J65" s="119">
        <v>1257.7340000000002</v>
      </c>
      <c r="K65" s="13">
        <v>192.0</v>
      </c>
      <c r="L65" s="116">
        <v>0.15265548995256548</v>
      </c>
      <c r="M65" s="116">
        <v>0.06519661550057483</v>
      </c>
    </row>
    <row r="66">
      <c r="A66" s="2" t="s">
        <v>186</v>
      </c>
      <c r="B66" s="2">
        <v>31.0</v>
      </c>
      <c r="C66" s="2" t="s">
        <v>315</v>
      </c>
      <c r="D66" s="2">
        <v>1971.0</v>
      </c>
      <c r="E66" s="2">
        <v>4.5</v>
      </c>
      <c r="F66" s="2">
        <v>89.8</v>
      </c>
      <c r="G66" s="2">
        <v>3.2</v>
      </c>
      <c r="H66" s="2">
        <v>2.1</v>
      </c>
      <c r="I66" s="2">
        <v>0.3</v>
      </c>
      <c r="J66" s="119">
        <v>1769.9579999999999</v>
      </c>
      <c r="K66" s="13">
        <v>264.0</v>
      </c>
      <c r="L66" s="116">
        <v>0.14915608166973454</v>
      </c>
      <c r="M66" s="116">
        <v>0.0779679517819067</v>
      </c>
    </row>
    <row r="67">
      <c r="A67" s="2" t="s">
        <v>186</v>
      </c>
      <c r="B67" s="2">
        <v>32.0</v>
      </c>
      <c r="C67" s="2" t="s">
        <v>319</v>
      </c>
      <c r="D67" s="2">
        <v>2108.0</v>
      </c>
      <c r="E67" s="2">
        <v>9.8</v>
      </c>
      <c r="F67" s="2">
        <v>71.4</v>
      </c>
      <c r="G67" s="2">
        <v>9.8</v>
      </c>
      <c r="H67" s="2">
        <v>7.6</v>
      </c>
      <c r="I67" s="2">
        <v>1.0</v>
      </c>
      <c r="J67" s="119">
        <v>1505.112</v>
      </c>
      <c r="K67" s="13">
        <v>219.0</v>
      </c>
      <c r="L67" s="116">
        <v>0.14550412195238627</v>
      </c>
      <c r="M67" s="116">
        <v>0.0651114335677345</v>
      </c>
    </row>
    <row r="68">
      <c r="A68" s="2" t="s">
        <v>186</v>
      </c>
      <c r="B68" s="2">
        <v>33.0</v>
      </c>
      <c r="C68" s="2" t="s">
        <v>397</v>
      </c>
      <c r="D68" s="2">
        <v>1200.0</v>
      </c>
      <c r="E68" s="2">
        <v>38.7</v>
      </c>
      <c r="F68" s="2">
        <v>6.3</v>
      </c>
      <c r="G68" s="2">
        <v>47.5</v>
      </c>
      <c r="J68" s="119">
        <v>75.6</v>
      </c>
      <c r="K68" s="13">
        <v>11.0</v>
      </c>
      <c r="L68" s="116">
        <v>0.14550264550264552</v>
      </c>
      <c r="M68" s="116">
        <v>0.10582010582010583</v>
      </c>
    </row>
    <row r="69">
      <c r="A69" s="2" t="s">
        <v>186</v>
      </c>
      <c r="B69" s="2">
        <v>34.0</v>
      </c>
      <c r="C69" s="2" t="s">
        <v>327</v>
      </c>
      <c r="D69" s="2">
        <v>2202.0</v>
      </c>
      <c r="E69" s="2">
        <v>32.3</v>
      </c>
      <c r="F69" s="2">
        <v>47.3</v>
      </c>
      <c r="G69" s="2">
        <v>10.3</v>
      </c>
      <c r="H69" s="2">
        <v>6.9</v>
      </c>
      <c r="I69" s="2">
        <v>2.0</v>
      </c>
      <c r="J69" s="119">
        <v>1041.5459999999998</v>
      </c>
      <c r="K69" s="13">
        <v>144.0</v>
      </c>
      <c r="L69" s="116">
        <v>0.13825601557684444</v>
      </c>
      <c r="M69" s="116">
        <v>0.05760667315701852</v>
      </c>
    </row>
    <row r="70">
      <c r="A70" s="2" t="s">
        <v>186</v>
      </c>
      <c r="B70" s="2">
        <v>35.0</v>
      </c>
      <c r="C70" s="2" t="s">
        <v>24</v>
      </c>
      <c r="D70" s="2">
        <v>2315.0</v>
      </c>
      <c r="E70" s="2">
        <v>7.5</v>
      </c>
      <c r="F70" s="2">
        <v>77.8</v>
      </c>
      <c r="G70" s="2">
        <v>10.9</v>
      </c>
      <c r="H70" s="2">
        <v>2.2</v>
      </c>
      <c r="I70" s="2">
        <v>1.0</v>
      </c>
      <c r="J70" s="119">
        <v>1801.07</v>
      </c>
      <c r="K70" s="13">
        <v>248.0</v>
      </c>
      <c r="L70" s="116">
        <v>0.13769592520002</v>
      </c>
      <c r="M70" s="116">
        <v>0.06051958002742814</v>
      </c>
    </row>
    <row r="71">
      <c r="A71" s="2" t="s">
        <v>186</v>
      </c>
      <c r="B71" s="2">
        <v>36.0</v>
      </c>
      <c r="C71" s="2" t="s">
        <v>339</v>
      </c>
      <c r="D71" s="2">
        <v>2814.0</v>
      </c>
      <c r="E71" s="2">
        <v>36.1</v>
      </c>
      <c r="F71" s="2">
        <v>41.5</v>
      </c>
      <c r="G71" s="2">
        <v>11.5</v>
      </c>
      <c r="H71" s="2">
        <v>8.5</v>
      </c>
      <c r="I71" s="2"/>
      <c r="J71" s="119">
        <v>1167.81</v>
      </c>
      <c r="K71" s="13">
        <v>159.0</v>
      </c>
      <c r="L71" s="116">
        <v>0.13615228504636884</v>
      </c>
      <c r="M71" s="116">
        <v>0.05651604284943613</v>
      </c>
    </row>
    <row r="72">
      <c r="A72" s="2" t="s">
        <v>186</v>
      </c>
      <c r="B72" s="2">
        <v>37.0</v>
      </c>
      <c r="C72" s="2" t="s">
        <v>332</v>
      </c>
      <c r="D72" s="2">
        <v>1156.0</v>
      </c>
      <c r="E72" s="2">
        <v>13.8</v>
      </c>
      <c r="F72" s="2">
        <v>56.7</v>
      </c>
      <c r="G72" s="2">
        <v>18.3</v>
      </c>
      <c r="H72" s="2">
        <v>9.0</v>
      </c>
      <c r="I72" s="2">
        <v>0.5</v>
      </c>
      <c r="J72" s="119">
        <v>655.452</v>
      </c>
      <c r="K72" s="13">
        <v>88.0</v>
      </c>
      <c r="L72" s="116">
        <v>0.1342584964268932</v>
      </c>
      <c r="M72" s="116">
        <v>0.054923930356456305</v>
      </c>
    </row>
    <row r="73">
      <c r="A73" s="2" t="s">
        <v>186</v>
      </c>
      <c r="B73" s="2">
        <v>38.0</v>
      </c>
      <c r="C73" s="2" t="s">
        <v>398</v>
      </c>
      <c r="D73" s="2">
        <v>1132.0</v>
      </c>
      <c r="E73" s="2">
        <v>52.8</v>
      </c>
      <c r="F73" s="2">
        <v>7.5</v>
      </c>
      <c r="G73" s="2">
        <v>30.6</v>
      </c>
      <c r="J73" s="119">
        <v>84.9</v>
      </c>
      <c r="K73" s="13">
        <v>10.0</v>
      </c>
      <c r="L73" s="116">
        <v>0.11778563015312131</v>
      </c>
      <c r="M73" s="116">
        <v>0.08244994110718491</v>
      </c>
    </row>
    <row r="74">
      <c r="A74" s="2" t="s">
        <v>186</v>
      </c>
      <c r="B74" s="2">
        <v>39.0</v>
      </c>
      <c r="C74" s="2" t="s">
        <v>338</v>
      </c>
      <c r="D74" s="2">
        <v>1578.0</v>
      </c>
      <c r="E74" s="2">
        <v>56.2</v>
      </c>
      <c r="F74" s="2">
        <v>16.8</v>
      </c>
      <c r="G74" s="2">
        <v>16.6</v>
      </c>
      <c r="H74" s="2">
        <v>7.5</v>
      </c>
      <c r="I74" s="2">
        <v>2.3</v>
      </c>
      <c r="J74" s="119">
        <v>265.10400000000004</v>
      </c>
      <c r="K74" s="13">
        <v>29.0</v>
      </c>
      <c r="L74" s="116">
        <v>0.10939103144426336</v>
      </c>
      <c r="M74" s="116">
        <v>0.07166998611865531</v>
      </c>
    </row>
    <row r="75">
      <c r="A75" s="2" t="s">
        <v>186</v>
      </c>
      <c r="B75" s="2">
        <v>40.0</v>
      </c>
      <c r="C75" s="2" t="s">
        <v>335</v>
      </c>
      <c r="D75" s="2">
        <v>1569.0</v>
      </c>
      <c r="E75" s="2">
        <v>31.7</v>
      </c>
      <c r="F75" s="2">
        <v>20.3</v>
      </c>
      <c r="G75" s="2">
        <v>34.8</v>
      </c>
      <c r="H75" s="2">
        <v>10.3</v>
      </c>
      <c r="I75" s="2">
        <v>1.5</v>
      </c>
      <c r="J75" s="119">
        <v>318.507</v>
      </c>
      <c r="K75" s="13">
        <v>34.0</v>
      </c>
      <c r="L75" s="116">
        <v>0.1067480463537693</v>
      </c>
      <c r="M75" s="116">
        <v>0.040815429488205913</v>
      </c>
    </row>
    <row r="76">
      <c r="A76" s="2" t="s">
        <v>186</v>
      </c>
      <c r="B76" s="2">
        <v>41.0</v>
      </c>
      <c r="C76" s="2" t="s">
        <v>340</v>
      </c>
      <c r="D76" s="2">
        <v>2196.0</v>
      </c>
      <c r="E76" s="2">
        <v>18.2</v>
      </c>
      <c r="F76" s="2">
        <v>32.5</v>
      </c>
      <c r="G76" s="2">
        <v>39.7</v>
      </c>
      <c r="H76" s="2">
        <v>6.6</v>
      </c>
      <c r="I76" s="2">
        <v>1.4</v>
      </c>
      <c r="J76" s="119">
        <v>713.7</v>
      </c>
      <c r="K76" s="13">
        <v>76.0</v>
      </c>
      <c r="L76" s="116">
        <v>0.1064873196020737</v>
      </c>
      <c r="M76" s="116">
        <v>0.05324365980103685</v>
      </c>
    </row>
    <row r="77">
      <c r="A77" s="2" t="s">
        <v>186</v>
      </c>
      <c r="B77" s="2">
        <v>42.0</v>
      </c>
      <c r="C77" s="2" t="s">
        <v>341</v>
      </c>
      <c r="D77" s="2">
        <v>2043.0</v>
      </c>
      <c r="E77" s="2">
        <v>69.8</v>
      </c>
      <c r="F77" s="2">
        <v>11.3</v>
      </c>
      <c r="G77" s="2">
        <v>9.6</v>
      </c>
      <c r="H77" s="2">
        <v>7.5</v>
      </c>
      <c r="J77" s="119">
        <v>230.859</v>
      </c>
      <c r="K77" s="13">
        <v>19.0</v>
      </c>
      <c r="L77" s="116">
        <v>0.08230131812058443</v>
      </c>
      <c r="M77" s="116">
        <v>0.0389848348992242</v>
      </c>
    </row>
    <row r="78">
      <c r="A78" s="2" t="s">
        <v>186</v>
      </c>
      <c r="B78" s="2">
        <v>43.0</v>
      </c>
      <c r="C78" s="2" t="s">
        <v>329</v>
      </c>
      <c r="D78" s="2">
        <v>2896.0</v>
      </c>
      <c r="E78" s="2">
        <v>4.0</v>
      </c>
      <c r="F78" s="2">
        <v>78.0</v>
      </c>
      <c r="G78" s="2">
        <v>14.1</v>
      </c>
      <c r="H78" s="2">
        <v>2.7</v>
      </c>
      <c r="I78" s="2">
        <v>0.8</v>
      </c>
      <c r="J78" s="119">
        <v>2258.88</v>
      </c>
      <c r="K78" s="13">
        <v>185.0</v>
      </c>
      <c r="L78" s="116">
        <v>0.08189899419181186</v>
      </c>
      <c r="M78" s="116">
        <v>0.035415781272134864</v>
      </c>
    </row>
    <row r="79">
      <c r="A79" s="2" t="s">
        <v>186</v>
      </c>
      <c r="B79" s="2">
        <v>44.0</v>
      </c>
      <c r="C79" s="2" t="s">
        <v>320</v>
      </c>
      <c r="D79" s="2">
        <v>2522.0</v>
      </c>
      <c r="E79" s="2">
        <v>9.5</v>
      </c>
      <c r="F79" s="2">
        <v>73.8</v>
      </c>
      <c r="G79" s="2">
        <v>9.6</v>
      </c>
      <c r="H79" s="2">
        <v>3.9</v>
      </c>
      <c r="I79" s="2">
        <v>2.1</v>
      </c>
      <c r="J79" s="119">
        <v>1861.236</v>
      </c>
      <c r="K79" s="13">
        <v>151.0</v>
      </c>
      <c r="L79" s="116">
        <v>0.08112888424681233</v>
      </c>
      <c r="M79" s="116">
        <v>0.03814669391737533</v>
      </c>
    </row>
    <row r="80">
      <c r="A80" s="2" t="s">
        <v>186</v>
      </c>
      <c r="B80" s="2">
        <v>45.0</v>
      </c>
      <c r="C80" s="2" t="s">
        <v>403</v>
      </c>
      <c r="D80" s="2">
        <v>1448.0</v>
      </c>
      <c r="E80" s="2">
        <v>39.0</v>
      </c>
      <c r="F80" s="2">
        <v>6.2</v>
      </c>
      <c r="G80" s="2">
        <v>44.0</v>
      </c>
      <c r="H80" s="2">
        <v>5.9</v>
      </c>
      <c r="I80" s="2">
        <v>2.9</v>
      </c>
      <c r="J80" s="119">
        <v>89.77600000000001</v>
      </c>
      <c r="K80" s="13">
        <v>6.0</v>
      </c>
      <c r="L80" s="116">
        <v>0.06683300659418998</v>
      </c>
      <c r="M80" s="116">
        <v>0.06683300659418998</v>
      </c>
    </row>
    <row r="81">
      <c r="A81" s="2" t="s">
        <v>186</v>
      </c>
      <c r="B81" s="2">
        <v>46.0</v>
      </c>
      <c r="C81" s="2" t="s">
        <v>28</v>
      </c>
      <c r="D81" s="2">
        <v>3177.0</v>
      </c>
      <c r="E81" s="2">
        <v>3.7</v>
      </c>
      <c r="F81" s="2">
        <v>68.5</v>
      </c>
      <c r="G81" s="2">
        <v>19.8</v>
      </c>
      <c r="H81" s="2">
        <v>5.2</v>
      </c>
      <c r="I81" s="2">
        <v>2.0</v>
      </c>
      <c r="J81" s="119">
        <v>2176.245</v>
      </c>
      <c r="K81" s="13">
        <v>127.0</v>
      </c>
      <c r="L81" s="116">
        <v>0.058357400017001765</v>
      </c>
      <c r="M81" s="116">
        <v>0.01883979055666986</v>
      </c>
    </row>
    <row r="82">
      <c r="A82" s="2" t="s">
        <v>186</v>
      </c>
      <c r="B82" s="2">
        <v>47.0</v>
      </c>
      <c r="C82" s="2" t="s">
        <v>406</v>
      </c>
      <c r="D82" s="2">
        <v>1100.0</v>
      </c>
      <c r="F82" s="2">
        <v>14.0</v>
      </c>
      <c r="J82" s="119">
        <v>154.0</v>
      </c>
      <c r="K82" s="13">
        <v>5.0</v>
      </c>
      <c r="L82" s="116">
        <v>0.032467532467532464</v>
      </c>
      <c r="M82" s="116">
        <v>0.032467532467532464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63"/>
    <col customWidth="1" min="3" max="3" width="6.38"/>
    <col customWidth="1" min="4" max="4" width="6.88"/>
  </cols>
  <sheetData>
    <row r="1">
      <c r="A1" s="120"/>
      <c r="B1" s="2" t="s">
        <v>305</v>
      </c>
      <c r="C1" s="2" t="s">
        <v>304</v>
      </c>
      <c r="D1" s="2" t="s">
        <v>306</v>
      </c>
    </row>
    <row r="2">
      <c r="A2" s="120" t="s">
        <v>13</v>
      </c>
      <c r="B2" s="2">
        <v>92.0</v>
      </c>
      <c r="C2" s="2">
        <v>90.0</v>
      </c>
      <c r="D2" s="2">
        <v>83.0</v>
      </c>
    </row>
    <row r="3">
      <c r="A3" s="120" t="s">
        <v>15</v>
      </c>
      <c r="B3" s="2">
        <v>95.0</v>
      </c>
      <c r="C3" s="2">
        <v>98.0</v>
      </c>
      <c r="D3" s="2">
        <v>90.0</v>
      </c>
    </row>
    <row r="4">
      <c r="A4" s="120" t="s">
        <v>14</v>
      </c>
      <c r="B4" s="2">
        <v>92.0</v>
      </c>
      <c r="C4" s="2">
        <v>88.0</v>
      </c>
      <c r="D4" s="2">
        <v>61.0</v>
      </c>
    </row>
    <row r="5">
      <c r="A5" s="120" t="s">
        <v>16</v>
      </c>
      <c r="B5" s="2">
        <v>95.0</v>
      </c>
      <c r="C5" s="2">
        <v>95.0</v>
      </c>
      <c r="D5" s="2">
        <v>82.0</v>
      </c>
    </row>
    <row r="6">
      <c r="A6" s="120" t="s">
        <v>17</v>
      </c>
      <c r="B6" s="2">
        <v>90.0</v>
      </c>
      <c r="C6" s="2">
        <v>95.0</v>
      </c>
      <c r="D6" s="2">
        <v>84.0</v>
      </c>
    </row>
    <row r="7">
      <c r="A7" s="60" t="s">
        <v>187</v>
      </c>
      <c r="B7" s="2">
        <v>85.0</v>
      </c>
      <c r="C7" s="2">
        <v>90.0</v>
      </c>
      <c r="D7" s="2">
        <v>78.0</v>
      </c>
    </row>
    <row r="8">
      <c r="A8" s="120" t="s">
        <v>19</v>
      </c>
      <c r="B8" s="2">
        <v>96.0</v>
      </c>
      <c r="C8" s="2">
        <v>93.0</v>
      </c>
      <c r="D8" s="2">
        <v>93.0</v>
      </c>
    </row>
    <row r="9">
      <c r="A9" s="60" t="s">
        <v>188</v>
      </c>
      <c r="B9" s="2">
        <v>91.0</v>
      </c>
      <c r="C9" s="2">
        <v>100.0</v>
      </c>
      <c r="D9" s="2">
        <v>90.0</v>
      </c>
    </row>
    <row r="10">
      <c r="A10" s="120" t="s">
        <v>21</v>
      </c>
      <c r="B10" s="2">
        <v>96.0</v>
      </c>
      <c r="C10" s="2">
        <v>94.0</v>
      </c>
      <c r="D10" s="2">
        <v>79.0</v>
      </c>
    </row>
    <row r="11">
      <c r="A11" s="120" t="s">
        <v>22</v>
      </c>
      <c r="B11" s="2">
        <v>91.0</v>
      </c>
      <c r="C11" s="2">
        <v>94.0</v>
      </c>
      <c r="D11" s="2">
        <v>84.0</v>
      </c>
    </row>
    <row r="12">
      <c r="A12" s="121" t="s">
        <v>319</v>
      </c>
      <c r="B12" s="2">
        <v>92.0</v>
      </c>
      <c r="C12" s="2">
        <v>92.0</v>
      </c>
      <c r="D12" s="2">
        <v>86.0</v>
      </c>
    </row>
    <row r="13">
      <c r="A13" s="122" t="s">
        <v>23</v>
      </c>
      <c r="B13" s="2">
        <v>93.0</v>
      </c>
      <c r="C13" s="2">
        <v>88.0</v>
      </c>
      <c r="D13" s="2">
        <v>80.0</v>
      </c>
    </row>
    <row r="14">
      <c r="A14" s="122" t="s">
        <v>24</v>
      </c>
      <c r="B14" s="2">
        <v>84.0</v>
      </c>
      <c r="C14" s="2">
        <v>88.0</v>
      </c>
      <c r="D14" s="2">
        <v>73.0</v>
      </c>
    </row>
    <row r="15">
      <c r="A15" s="123" t="s">
        <v>25</v>
      </c>
      <c r="B15" s="2">
        <v>86.0</v>
      </c>
      <c r="C15" s="2">
        <v>90.0</v>
      </c>
      <c r="D15" s="2">
        <v>70.0</v>
      </c>
    </row>
    <row r="16">
      <c r="A16" s="123" t="s">
        <v>26</v>
      </c>
      <c r="B16" s="2">
        <v>71.0</v>
      </c>
      <c r="C16" s="2">
        <v>83.0</v>
      </c>
      <c r="D16" s="2">
        <v>57.0</v>
      </c>
    </row>
    <row r="17">
      <c r="A17" s="123" t="s">
        <v>27</v>
      </c>
      <c r="B17" s="2">
        <v>90.0</v>
      </c>
      <c r="C17" s="2">
        <v>93.0</v>
      </c>
      <c r="D17" s="2">
        <v>77.0</v>
      </c>
    </row>
    <row r="18">
      <c r="A18" s="122" t="s">
        <v>28</v>
      </c>
      <c r="B18" s="2">
        <v>76.0</v>
      </c>
      <c r="C18" s="2">
        <v>88.0</v>
      </c>
      <c r="D18" s="2">
        <v>76.0</v>
      </c>
    </row>
    <row r="19">
      <c r="A19" s="2" t="s">
        <v>318</v>
      </c>
      <c r="B19" s="2">
        <v>86.0</v>
      </c>
      <c r="C19" s="2">
        <v>87.0</v>
      </c>
      <c r="D19" s="2">
        <v>81.0</v>
      </c>
    </row>
    <row r="20">
      <c r="A20" s="2" t="s">
        <v>331</v>
      </c>
      <c r="B20" s="2">
        <v>80.0</v>
      </c>
      <c r="C20" s="2">
        <v>90.0</v>
      </c>
      <c r="D20" s="2">
        <v>78.0</v>
      </c>
    </row>
    <row r="21">
      <c r="A21" s="2" t="s">
        <v>330</v>
      </c>
      <c r="B21" s="2">
        <v>82.0</v>
      </c>
      <c r="C21" s="2">
        <v>95.0</v>
      </c>
      <c r="D21" s="2">
        <v>79.0</v>
      </c>
    </row>
    <row r="22">
      <c r="A22" s="2" t="s">
        <v>334</v>
      </c>
      <c r="B22" s="2">
        <v>85.0</v>
      </c>
      <c r="C22" s="2">
        <v>91.0</v>
      </c>
      <c r="D22" s="2">
        <v>77.0</v>
      </c>
    </row>
    <row r="23">
      <c r="A23" s="2" t="s">
        <v>328</v>
      </c>
      <c r="B23" s="2">
        <v>93.0</v>
      </c>
      <c r="C23" s="2">
        <v>98.0</v>
      </c>
      <c r="D23" s="2">
        <v>90.0</v>
      </c>
    </row>
    <row r="24">
      <c r="A24" s="2" t="s">
        <v>316</v>
      </c>
      <c r="B24" s="2">
        <v>89.0</v>
      </c>
      <c r="C24" s="2">
        <v>93.0</v>
      </c>
      <c r="D24" s="2">
        <v>83.0</v>
      </c>
    </row>
    <row r="25">
      <c r="A25" s="2" t="s">
        <v>355</v>
      </c>
      <c r="B25" s="2">
        <v>90.0</v>
      </c>
      <c r="C25" s="2">
        <v>93.0</v>
      </c>
      <c r="D25" s="2">
        <v>77.0</v>
      </c>
    </row>
    <row r="26">
      <c r="A26" s="2" t="s">
        <v>320</v>
      </c>
      <c r="B26" s="2">
        <v>84.0</v>
      </c>
      <c r="C26" s="2">
        <v>93.0</v>
      </c>
      <c r="D26" s="2">
        <v>74.0</v>
      </c>
    </row>
    <row r="27">
      <c r="A27" s="2" t="s">
        <v>340</v>
      </c>
      <c r="B27" s="2">
        <v>74.0</v>
      </c>
      <c r="C27" s="2">
        <v>84.0</v>
      </c>
      <c r="D27" s="2">
        <v>70.0</v>
      </c>
    </row>
    <row r="28">
      <c r="A28" s="2" t="s">
        <v>322</v>
      </c>
      <c r="B28" s="2">
        <v>79.0</v>
      </c>
      <c r="C28" s="2">
        <v>89.0</v>
      </c>
      <c r="D28" s="2">
        <v>70.0</v>
      </c>
    </row>
    <row r="29">
      <c r="A29" s="2" t="s">
        <v>324</v>
      </c>
      <c r="B29" s="2">
        <v>90.0</v>
      </c>
      <c r="C29" s="2">
        <v>96.0</v>
      </c>
      <c r="D29" s="2">
        <v>89.0</v>
      </c>
    </row>
    <row r="30">
      <c r="A30" s="2" t="s">
        <v>389</v>
      </c>
      <c r="B30" s="2">
        <v>58.0</v>
      </c>
      <c r="C30" s="2">
        <v>71.0</v>
      </c>
      <c r="D30" s="2">
        <v>28.0</v>
      </c>
    </row>
    <row r="31">
      <c r="A31" s="2" t="s">
        <v>333</v>
      </c>
      <c r="B31" s="2">
        <v>52.0</v>
      </c>
      <c r="C31" s="2">
        <v>58.0</v>
      </c>
      <c r="D31" s="2">
        <v>53.0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4.63"/>
    <col customWidth="1" min="3" max="3" width="5.13"/>
    <col customWidth="1" min="4" max="4" width="6.63"/>
  </cols>
  <sheetData>
    <row r="1">
      <c r="B1" s="2" t="s">
        <v>410</v>
      </c>
      <c r="C1" s="2" t="s">
        <v>411</v>
      </c>
      <c r="D1" s="124" t="s">
        <v>412</v>
      </c>
    </row>
    <row r="2">
      <c r="A2" s="115" t="s">
        <v>212</v>
      </c>
      <c r="B2" s="2">
        <v>22.0</v>
      </c>
      <c r="C2" s="2">
        <v>61.0</v>
      </c>
      <c r="D2" s="117">
        <f t="shared" ref="D2:D54" si="1">B2/C2/6</f>
        <v>0.06010928962</v>
      </c>
    </row>
    <row r="3">
      <c r="A3" s="115" t="s">
        <v>7</v>
      </c>
      <c r="B3" s="2">
        <v>26.4</v>
      </c>
      <c r="C3" s="13">
        <f>417/5*0.9</f>
        <v>75.06</v>
      </c>
      <c r="D3" s="117">
        <f t="shared" si="1"/>
        <v>0.05861977085</v>
      </c>
    </row>
    <row r="4">
      <c r="A4" s="115" t="s">
        <v>8</v>
      </c>
      <c r="B4" s="2">
        <v>59.0</v>
      </c>
      <c r="C4" s="2">
        <v>176.0</v>
      </c>
      <c r="D4" s="117">
        <f t="shared" si="1"/>
        <v>0.05587121212</v>
      </c>
    </row>
    <row r="5">
      <c r="A5" s="115" t="s">
        <v>10</v>
      </c>
      <c r="B5" s="2">
        <v>37.0</v>
      </c>
      <c r="C5" s="2">
        <f>513/4*0.9</f>
        <v>115.425</v>
      </c>
      <c r="D5" s="117">
        <f t="shared" si="1"/>
        <v>0.05342574543</v>
      </c>
    </row>
    <row r="6">
      <c r="A6" s="115" t="s">
        <v>1</v>
      </c>
      <c r="B6" s="2">
        <v>30.0</v>
      </c>
      <c r="C6" s="2">
        <v>100.0</v>
      </c>
      <c r="D6" s="117">
        <f t="shared" si="1"/>
        <v>0.05</v>
      </c>
    </row>
    <row r="7">
      <c r="A7" s="115" t="s">
        <v>314</v>
      </c>
      <c r="B7" s="2">
        <v>13.0</v>
      </c>
      <c r="C7" s="2">
        <v>62.0</v>
      </c>
      <c r="D7" s="117">
        <f t="shared" si="1"/>
        <v>0.03494623656</v>
      </c>
    </row>
    <row r="8">
      <c r="A8" s="115" t="s">
        <v>413</v>
      </c>
      <c r="B8" s="2">
        <v>20.0</v>
      </c>
      <c r="C8" s="2">
        <v>99.0</v>
      </c>
      <c r="D8" s="117">
        <f t="shared" si="1"/>
        <v>0.03367003367</v>
      </c>
    </row>
    <row r="9">
      <c r="A9" s="115" t="s">
        <v>9</v>
      </c>
      <c r="B9" s="2">
        <v>14.0</v>
      </c>
      <c r="C9" s="2">
        <v>90.0</v>
      </c>
      <c r="D9" s="117">
        <f t="shared" si="1"/>
        <v>0.02592592593</v>
      </c>
    </row>
    <row r="10">
      <c r="A10" s="115" t="s">
        <v>317</v>
      </c>
      <c r="B10" s="2">
        <v>15.0</v>
      </c>
      <c r="C10" s="2">
        <v>112.0</v>
      </c>
      <c r="D10" s="117">
        <f t="shared" si="1"/>
        <v>0.02232142857</v>
      </c>
    </row>
    <row r="11">
      <c r="A11" s="2" t="s">
        <v>13</v>
      </c>
      <c r="B11" s="2">
        <v>56.0</v>
      </c>
      <c r="C11" s="2">
        <v>447.0</v>
      </c>
      <c r="D11" s="117">
        <f t="shared" si="1"/>
        <v>0.02087994034</v>
      </c>
    </row>
    <row r="12">
      <c r="A12" s="115" t="s">
        <v>414</v>
      </c>
      <c r="B12" s="2">
        <v>11.0</v>
      </c>
      <c r="C12" s="2">
        <v>96.0</v>
      </c>
      <c r="D12" s="117">
        <f t="shared" si="1"/>
        <v>0.01909722222</v>
      </c>
    </row>
    <row r="13">
      <c r="A13" s="115" t="s">
        <v>415</v>
      </c>
      <c r="B13" s="2">
        <v>9.0</v>
      </c>
      <c r="C13" s="2">
        <v>88.0</v>
      </c>
      <c r="D13" s="117">
        <f t="shared" si="1"/>
        <v>0.01704545455</v>
      </c>
    </row>
    <row r="14">
      <c r="A14" s="2" t="s">
        <v>372</v>
      </c>
      <c r="B14" s="2">
        <v>40.0</v>
      </c>
      <c r="C14" s="2">
        <v>476.0</v>
      </c>
      <c r="D14" s="117">
        <f t="shared" si="1"/>
        <v>0.01400560224</v>
      </c>
    </row>
    <row r="15">
      <c r="A15" s="115" t="s">
        <v>342</v>
      </c>
      <c r="B15" s="2">
        <v>12.0</v>
      </c>
      <c r="C15" s="13">
        <f>643/4*0.9</f>
        <v>144.675</v>
      </c>
      <c r="D15" s="117">
        <f t="shared" si="1"/>
        <v>0.01382408847</v>
      </c>
    </row>
    <row r="16">
      <c r="A16" s="2" t="s">
        <v>15</v>
      </c>
      <c r="B16" s="2">
        <v>39.0</v>
      </c>
      <c r="C16" s="2">
        <v>472.0</v>
      </c>
      <c r="D16" s="117">
        <f t="shared" si="1"/>
        <v>0.01377118644</v>
      </c>
    </row>
    <row r="17">
      <c r="A17" s="115" t="s">
        <v>416</v>
      </c>
      <c r="B17" s="2">
        <v>6.0</v>
      </c>
      <c r="C17" s="2">
        <v>73.25</v>
      </c>
      <c r="D17" s="117">
        <f t="shared" si="1"/>
        <v>0.01365187713</v>
      </c>
    </row>
    <row r="18">
      <c r="A18" s="2" t="s">
        <v>16</v>
      </c>
      <c r="B18" s="2">
        <v>42.0</v>
      </c>
      <c r="C18" s="2">
        <v>518.0</v>
      </c>
      <c r="D18" s="117">
        <f t="shared" si="1"/>
        <v>0.01351351351</v>
      </c>
    </row>
    <row r="19">
      <c r="A19" s="2" t="s">
        <v>323</v>
      </c>
      <c r="B19" s="2">
        <v>20.0</v>
      </c>
      <c r="C19" s="2">
        <v>253.0</v>
      </c>
      <c r="D19" s="117">
        <f t="shared" si="1"/>
        <v>0.01317523057</v>
      </c>
    </row>
    <row r="20">
      <c r="A20" s="2" t="s">
        <v>322</v>
      </c>
      <c r="B20" s="2">
        <v>11.0</v>
      </c>
      <c r="C20" s="2">
        <v>198.0</v>
      </c>
      <c r="D20" s="117">
        <f t="shared" si="1"/>
        <v>0.009259259259</v>
      </c>
    </row>
    <row r="21">
      <c r="A21" s="115" t="s">
        <v>11</v>
      </c>
      <c r="B21" s="2">
        <v>22.0</v>
      </c>
      <c r="C21" s="2">
        <v>399.0</v>
      </c>
      <c r="D21" s="117">
        <f t="shared" si="1"/>
        <v>0.009189640769</v>
      </c>
    </row>
    <row r="22">
      <c r="A22" s="2" t="s">
        <v>316</v>
      </c>
      <c r="B22" s="2">
        <v>27.0</v>
      </c>
      <c r="C22" s="2">
        <v>608.0</v>
      </c>
      <c r="D22" s="117">
        <f t="shared" si="1"/>
        <v>0.007401315789</v>
      </c>
    </row>
    <row r="23">
      <c r="A23" s="2" t="s">
        <v>17</v>
      </c>
      <c r="B23" s="2">
        <v>15.0</v>
      </c>
      <c r="C23" s="2">
        <v>362.0</v>
      </c>
      <c r="D23" s="117">
        <f t="shared" si="1"/>
        <v>0.006906077348</v>
      </c>
    </row>
    <row r="24">
      <c r="A24" s="115" t="s">
        <v>343</v>
      </c>
      <c r="B24" s="2">
        <v>17.0</v>
      </c>
      <c r="C24" s="2">
        <v>435.0</v>
      </c>
      <c r="D24" s="117">
        <f t="shared" si="1"/>
        <v>0.006513409962</v>
      </c>
    </row>
    <row r="25">
      <c r="A25" s="2" t="s">
        <v>188</v>
      </c>
      <c r="B25" s="2">
        <v>18.0</v>
      </c>
      <c r="C25" s="2">
        <v>486.0</v>
      </c>
      <c r="D25" s="117">
        <f t="shared" si="1"/>
        <v>0.006172839506</v>
      </c>
    </row>
    <row r="26">
      <c r="A26" s="115" t="s">
        <v>385</v>
      </c>
      <c r="B26" s="2">
        <v>13.0</v>
      </c>
      <c r="C26" s="2">
        <v>354.0</v>
      </c>
      <c r="D26" s="117">
        <f t="shared" si="1"/>
        <v>0.006120527307</v>
      </c>
    </row>
    <row r="27">
      <c r="A27" s="2" t="s">
        <v>23</v>
      </c>
      <c r="B27" s="2">
        <v>15.0</v>
      </c>
      <c r="C27" s="2">
        <v>484.0</v>
      </c>
      <c r="D27" s="117">
        <f t="shared" si="1"/>
        <v>0.005165289256</v>
      </c>
    </row>
    <row r="28">
      <c r="A28" s="2" t="s">
        <v>324</v>
      </c>
      <c r="B28" s="2">
        <v>21.0</v>
      </c>
      <c r="C28" s="2">
        <v>709.0</v>
      </c>
      <c r="D28" s="117">
        <f t="shared" si="1"/>
        <v>0.004936530324</v>
      </c>
    </row>
    <row r="29">
      <c r="A29" s="115" t="s">
        <v>417</v>
      </c>
      <c r="B29" s="2">
        <v>4.0</v>
      </c>
      <c r="C29" s="2">
        <v>139.0</v>
      </c>
      <c r="D29" s="117">
        <f t="shared" si="1"/>
        <v>0.00479616307</v>
      </c>
    </row>
    <row r="30">
      <c r="A30" s="2" t="s">
        <v>330</v>
      </c>
      <c r="B30" s="2">
        <v>9.0</v>
      </c>
      <c r="C30" s="2">
        <v>318.0</v>
      </c>
      <c r="D30" s="117">
        <f t="shared" si="1"/>
        <v>0.004716981132</v>
      </c>
    </row>
    <row r="31">
      <c r="A31" s="2" t="s">
        <v>19</v>
      </c>
      <c r="B31" s="2">
        <v>11.0</v>
      </c>
      <c r="C31" s="2">
        <v>397.0</v>
      </c>
      <c r="D31" s="117">
        <f t="shared" si="1"/>
        <v>0.004617968094</v>
      </c>
    </row>
    <row r="32">
      <c r="A32" s="2" t="s">
        <v>333</v>
      </c>
      <c r="B32" s="2">
        <v>18.0</v>
      </c>
      <c r="C32" s="2">
        <v>741.0</v>
      </c>
      <c r="D32" s="117">
        <f t="shared" si="1"/>
        <v>0.004048582996</v>
      </c>
    </row>
    <row r="33">
      <c r="A33" s="2" t="s">
        <v>389</v>
      </c>
      <c r="B33" s="2">
        <v>7.0</v>
      </c>
      <c r="C33" s="2">
        <v>290.0</v>
      </c>
      <c r="D33" s="117">
        <f t="shared" si="1"/>
        <v>0.004022988506</v>
      </c>
    </row>
    <row r="34">
      <c r="A34" s="2" t="s">
        <v>320</v>
      </c>
      <c r="B34" s="2">
        <v>10.0</v>
      </c>
      <c r="C34" s="2">
        <v>457.0</v>
      </c>
      <c r="D34" s="117">
        <f t="shared" si="1"/>
        <v>0.003646973012</v>
      </c>
    </row>
    <row r="35">
      <c r="A35" s="2" t="s">
        <v>318</v>
      </c>
      <c r="B35" s="2">
        <v>13.0</v>
      </c>
      <c r="C35" s="2">
        <v>606.0</v>
      </c>
      <c r="D35" s="117">
        <f t="shared" si="1"/>
        <v>0.003575357536</v>
      </c>
    </row>
    <row r="36">
      <c r="A36" s="115" t="s">
        <v>418</v>
      </c>
      <c r="B36" s="2">
        <v>2.0</v>
      </c>
      <c r="C36" s="2">
        <v>97.0</v>
      </c>
      <c r="D36" s="117">
        <f t="shared" si="1"/>
        <v>0.003436426117</v>
      </c>
    </row>
    <row r="37">
      <c r="A37" s="115" t="s">
        <v>220</v>
      </c>
      <c r="B37" s="2">
        <v>9.0</v>
      </c>
      <c r="C37" s="2">
        <v>442.0</v>
      </c>
      <c r="D37" s="117">
        <f t="shared" si="1"/>
        <v>0.003393665158</v>
      </c>
    </row>
    <row r="38">
      <c r="A38" s="2" t="s">
        <v>18</v>
      </c>
      <c r="B38" s="2">
        <v>11.0</v>
      </c>
      <c r="C38" s="2">
        <v>608.0</v>
      </c>
      <c r="D38" s="117">
        <f t="shared" si="1"/>
        <v>0.003015350877</v>
      </c>
    </row>
    <row r="39">
      <c r="A39" s="2" t="s">
        <v>22</v>
      </c>
      <c r="B39" s="2">
        <v>8.0</v>
      </c>
      <c r="C39" s="2">
        <v>456.0</v>
      </c>
      <c r="D39" s="117">
        <f t="shared" si="1"/>
        <v>0.002923976608</v>
      </c>
    </row>
    <row r="40">
      <c r="A40" s="2" t="s">
        <v>327</v>
      </c>
      <c r="B40" s="2">
        <v>9.0</v>
      </c>
      <c r="C40" s="2">
        <v>522.0</v>
      </c>
      <c r="D40" s="117">
        <f t="shared" si="1"/>
        <v>0.002873563218</v>
      </c>
    </row>
    <row r="41">
      <c r="A41" s="2" t="s">
        <v>334</v>
      </c>
      <c r="B41" s="2">
        <v>6.0</v>
      </c>
      <c r="C41" s="2">
        <v>350.0</v>
      </c>
      <c r="D41" s="117">
        <f t="shared" si="1"/>
        <v>0.002857142857</v>
      </c>
    </row>
    <row r="42">
      <c r="A42" s="2" t="s">
        <v>321</v>
      </c>
      <c r="B42" s="2">
        <v>11.0</v>
      </c>
      <c r="C42" s="2">
        <v>650.0</v>
      </c>
      <c r="D42" s="117">
        <f t="shared" si="1"/>
        <v>0.002820512821</v>
      </c>
    </row>
    <row r="43">
      <c r="A43" s="2" t="s">
        <v>331</v>
      </c>
      <c r="B43" s="2">
        <v>5.0</v>
      </c>
      <c r="C43" s="2">
        <v>316.0</v>
      </c>
      <c r="D43" s="117">
        <f t="shared" si="1"/>
        <v>0.002637130802</v>
      </c>
    </row>
    <row r="44">
      <c r="A44" s="2" t="s">
        <v>337</v>
      </c>
      <c r="B44" s="2">
        <v>8.0</v>
      </c>
      <c r="C44" s="2">
        <v>516.0</v>
      </c>
      <c r="D44" s="117">
        <f t="shared" si="1"/>
        <v>0.002583979328</v>
      </c>
    </row>
    <row r="45">
      <c r="A45" s="2" t="s">
        <v>25</v>
      </c>
      <c r="B45" s="2">
        <v>7.0</v>
      </c>
      <c r="C45" s="2">
        <v>456.0</v>
      </c>
      <c r="D45" s="117">
        <f t="shared" si="1"/>
        <v>0.002558479532</v>
      </c>
    </row>
    <row r="46">
      <c r="A46" s="2" t="s">
        <v>325</v>
      </c>
      <c r="B46" s="2">
        <v>4.0</v>
      </c>
      <c r="C46" s="2">
        <v>273.0</v>
      </c>
      <c r="D46" s="117">
        <f t="shared" si="1"/>
        <v>0.002442002442</v>
      </c>
    </row>
    <row r="47">
      <c r="A47" s="2" t="s">
        <v>341</v>
      </c>
      <c r="B47" s="2">
        <v>8.0</v>
      </c>
      <c r="C47" s="2">
        <v>562.0</v>
      </c>
      <c r="D47" s="117">
        <f t="shared" si="1"/>
        <v>0.002372479241</v>
      </c>
    </row>
    <row r="48">
      <c r="A48" s="2" t="s">
        <v>24</v>
      </c>
      <c r="B48" s="2">
        <v>7.0</v>
      </c>
      <c r="C48" s="2">
        <v>500.0</v>
      </c>
      <c r="D48" s="117">
        <f t="shared" si="1"/>
        <v>0.002333333333</v>
      </c>
    </row>
    <row r="49">
      <c r="A49" s="2" t="s">
        <v>319</v>
      </c>
      <c r="B49" s="2">
        <v>7.0</v>
      </c>
      <c r="C49" s="2">
        <v>508.0</v>
      </c>
      <c r="D49" s="117">
        <f t="shared" si="1"/>
        <v>0.002296587927</v>
      </c>
    </row>
    <row r="50">
      <c r="A50" s="2" t="s">
        <v>26</v>
      </c>
      <c r="B50" s="2">
        <v>6.0</v>
      </c>
      <c r="C50" s="2">
        <v>439.0</v>
      </c>
      <c r="D50" s="117">
        <f t="shared" si="1"/>
        <v>0.002277904328</v>
      </c>
    </row>
    <row r="51">
      <c r="A51" s="2" t="s">
        <v>328</v>
      </c>
      <c r="B51" s="2">
        <v>7.0</v>
      </c>
      <c r="C51" s="2">
        <v>513.0</v>
      </c>
      <c r="D51" s="117">
        <f t="shared" si="1"/>
        <v>0.002274204029</v>
      </c>
    </row>
    <row r="52">
      <c r="A52" s="2" t="s">
        <v>21</v>
      </c>
      <c r="B52" s="2">
        <v>4.0</v>
      </c>
      <c r="C52" s="2">
        <v>417.0</v>
      </c>
      <c r="D52" s="117">
        <f t="shared" si="1"/>
        <v>0.001598721023</v>
      </c>
    </row>
    <row r="53">
      <c r="A53" s="2" t="s">
        <v>332</v>
      </c>
      <c r="B53" s="2">
        <v>3.0</v>
      </c>
      <c r="C53" s="2">
        <v>313.0</v>
      </c>
      <c r="D53" s="117">
        <f t="shared" si="1"/>
        <v>0.001597444089</v>
      </c>
    </row>
    <row r="54">
      <c r="A54" s="2" t="s">
        <v>329</v>
      </c>
      <c r="B54" s="2">
        <v>6.0</v>
      </c>
      <c r="C54" s="2">
        <v>652.0</v>
      </c>
      <c r="D54" s="117">
        <f t="shared" si="1"/>
        <v>0.001533742331</v>
      </c>
    </row>
    <row r="55">
      <c r="D55" s="117"/>
    </row>
    <row r="56">
      <c r="D56" s="117"/>
    </row>
    <row r="57">
      <c r="D57" s="117"/>
    </row>
    <row r="58">
      <c r="D58" s="117"/>
    </row>
    <row r="59">
      <c r="D59" s="117"/>
    </row>
    <row r="60">
      <c r="D60" s="117"/>
    </row>
    <row r="61">
      <c r="D61" s="117"/>
    </row>
    <row r="62">
      <c r="D62" s="117"/>
    </row>
    <row r="63">
      <c r="D63" s="117"/>
    </row>
    <row r="64">
      <c r="D64" s="117"/>
    </row>
    <row r="65">
      <c r="D65" s="117"/>
    </row>
    <row r="66">
      <c r="D66" s="117"/>
    </row>
    <row r="67">
      <c r="D67" s="117"/>
    </row>
    <row r="68">
      <c r="D68" s="117"/>
    </row>
    <row r="69">
      <c r="D69" s="117"/>
    </row>
    <row r="70">
      <c r="D70" s="117"/>
    </row>
    <row r="71">
      <c r="D71" s="117"/>
    </row>
    <row r="72">
      <c r="D72" s="117"/>
    </row>
    <row r="73">
      <c r="D73" s="117"/>
    </row>
    <row r="74">
      <c r="D74" s="117"/>
    </row>
    <row r="75">
      <c r="D75" s="117"/>
    </row>
    <row r="76">
      <c r="D76" s="117"/>
    </row>
    <row r="77">
      <c r="D77" s="117"/>
    </row>
    <row r="78">
      <c r="D78" s="117"/>
    </row>
    <row r="79">
      <c r="D79" s="117"/>
    </row>
    <row r="80">
      <c r="D80" s="117"/>
    </row>
    <row r="81">
      <c r="D81" s="117"/>
    </row>
    <row r="82">
      <c r="D82" s="117"/>
    </row>
    <row r="83">
      <c r="D83" s="117"/>
    </row>
    <row r="84">
      <c r="D84" s="117"/>
    </row>
    <row r="85">
      <c r="D85" s="117"/>
    </row>
    <row r="86">
      <c r="D86" s="117"/>
    </row>
    <row r="87">
      <c r="D87" s="117"/>
    </row>
    <row r="88">
      <c r="D88" s="117"/>
    </row>
    <row r="89">
      <c r="D89" s="117"/>
    </row>
    <row r="90">
      <c r="D90" s="117"/>
    </row>
    <row r="91">
      <c r="D91" s="117"/>
    </row>
    <row r="92">
      <c r="D92" s="117"/>
    </row>
    <row r="93">
      <c r="D93" s="117"/>
    </row>
    <row r="94">
      <c r="D94" s="117"/>
    </row>
    <row r="95">
      <c r="D95" s="117"/>
    </row>
    <row r="96">
      <c r="D96" s="117"/>
    </row>
    <row r="97">
      <c r="D97" s="117"/>
    </row>
    <row r="98">
      <c r="D98" s="117"/>
    </row>
    <row r="99">
      <c r="D99" s="117"/>
    </row>
    <row r="100">
      <c r="D100" s="117"/>
    </row>
    <row r="101">
      <c r="D101" s="117"/>
    </row>
    <row r="102">
      <c r="D102" s="117"/>
    </row>
    <row r="103">
      <c r="D103" s="117"/>
    </row>
    <row r="104">
      <c r="D104" s="117"/>
    </row>
    <row r="105">
      <c r="D105" s="117"/>
    </row>
    <row r="106">
      <c r="D106" s="117"/>
    </row>
    <row r="107">
      <c r="D107" s="117"/>
    </row>
    <row r="108">
      <c r="D108" s="117"/>
    </row>
    <row r="109">
      <c r="D109" s="117"/>
    </row>
    <row r="110">
      <c r="D110" s="117"/>
    </row>
    <row r="111">
      <c r="D111" s="117"/>
    </row>
    <row r="112">
      <c r="D112" s="117"/>
    </row>
    <row r="113">
      <c r="D113" s="117"/>
    </row>
    <row r="114">
      <c r="D114" s="117"/>
    </row>
    <row r="115">
      <c r="D115" s="117"/>
    </row>
    <row r="116">
      <c r="D116" s="117"/>
    </row>
    <row r="117">
      <c r="D117" s="117"/>
    </row>
    <row r="118">
      <c r="D118" s="117"/>
    </row>
    <row r="119">
      <c r="D119" s="117"/>
    </row>
    <row r="120">
      <c r="D120" s="117"/>
    </row>
    <row r="121">
      <c r="D121" s="117"/>
    </row>
    <row r="122">
      <c r="D122" s="117"/>
    </row>
    <row r="123">
      <c r="D123" s="117"/>
    </row>
    <row r="124">
      <c r="D124" s="117"/>
    </row>
    <row r="125">
      <c r="D125" s="117"/>
    </row>
    <row r="126">
      <c r="D126" s="117"/>
    </row>
    <row r="127">
      <c r="D127" s="117"/>
    </row>
    <row r="128">
      <c r="D128" s="117"/>
    </row>
    <row r="129">
      <c r="D129" s="117"/>
    </row>
    <row r="130">
      <c r="D130" s="117"/>
    </row>
    <row r="131">
      <c r="D131" s="117"/>
    </row>
    <row r="132">
      <c r="D132" s="117"/>
    </row>
    <row r="133">
      <c r="D133" s="117"/>
    </row>
    <row r="134">
      <c r="D134" s="117"/>
    </row>
    <row r="135">
      <c r="D135" s="117"/>
    </row>
    <row r="136">
      <c r="D136" s="117"/>
    </row>
    <row r="137">
      <c r="D137" s="117"/>
    </row>
    <row r="138">
      <c r="D138" s="117"/>
    </row>
    <row r="139">
      <c r="D139" s="117"/>
    </row>
    <row r="140">
      <c r="D140" s="117"/>
    </row>
    <row r="141">
      <c r="D141" s="117"/>
    </row>
    <row r="142">
      <c r="D142" s="117"/>
    </row>
    <row r="143">
      <c r="D143" s="117"/>
    </row>
    <row r="144">
      <c r="D144" s="117"/>
    </row>
    <row r="145">
      <c r="D145" s="117"/>
    </row>
    <row r="146">
      <c r="D146" s="117"/>
    </row>
    <row r="147">
      <c r="D147" s="117"/>
    </row>
    <row r="148">
      <c r="D148" s="117"/>
    </row>
    <row r="149">
      <c r="D149" s="117"/>
    </row>
    <row r="150">
      <c r="D150" s="117"/>
    </row>
    <row r="151">
      <c r="D151" s="117"/>
    </row>
    <row r="152">
      <c r="D152" s="117"/>
    </row>
    <row r="153">
      <c r="D153" s="117"/>
    </row>
    <row r="154">
      <c r="D154" s="117"/>
    </row>
    <row r="155">
      <c r="D155" s="117"/>
    </row>
    <row r="156">
      <c r="D156" s="117"/>
    </row>
    <row r="157">
      <c r="D157" s="117"/>
    </row>
    <row r="158">
      <c r="D158" s="117"/>
    </row>
    <row r="159">
      <c r="D159" s="117"/>
    </row>
    <row r="160">
      <c r="D160" s="117"/>
    </row>
    <row r="161">
      <c r="D161" s="117"/>
    </row>
    <row r="162">
      <c r="D162" s="117"/>
    </row>
    <row r="163">
      <c r="D163" s="117"/>
    </row>
    <row r="164">
      <c r="D164" s="117"/>
    </row>
    <row r="165">
      <c r="D165" s="117"/>
    </row>
    <row r="166">
      <c r="D166" s="117"/>
    </row>
    <row r="167">
      <c r="D167" s="117"/>
    </row>
    <row r="168">
      <c r="D168" s="117"/>
    </row>
    <row r="169">
      <c r="D169" s="117"/>
    </row>
    <row r="170">
      <c r="D170" s="117"/>
    </row>
    <row r="171">
      <c r="D171" s="117"/>
    </row>
    <row r="172">
      <c r="D172" s="117"/>
    </row>
    <row r="173">
      <c r="D173" s="117"/>
    </row>
    <row r="174">
      <c r="D174" s="117"/>
    </row>
    <row r="175">
      <c r="D175" s="117"/>
    </row>
    <row r="176">
      <c r="D176" s="117"/>
    </row>
    <row r="177">
      <c r="D177" s="117"/>
    </row>
    <row r="178">
      <c r="D178" s="117"/>
    </row>
    <row r="179">
      <c r="D179" s="117"/>
    </row>
    <row r="180">
      <c r="D180" s="117"/>
    </row>
    <row r="181">
      <c r="D181" s="117"/>
    </row>
    <row r="182">
      <c r="D182" s="117"/>
    </row>
    <row r="183">
      <c r="D183" s="117"/>
    </row>
    <row r="184">
      <c r="D184" s="117"/>
    </row>
    <row r="185">
      <c r="D185" s="117"/>
    </row>
    <row r="186">
      <c r="D186" s="117"/>
    </row>
    <row r="187">
      <c r="D187" s="117"/>
    </row>
    <row r="188">
      <c r="D188" s="117"/>
    </row>
    <row r="189">
      <c r="D189" s="117"/>
    </row>
    <row r="190">
      <c r="D190" s="117"/>
    </row>
    <row r="191">
      <c r="D191" s="117"/>
    </row>
    <row r="192">
      <c r="D192" s="117"/>
    </row>
    <row r="193">
      <c r="D193" s="117"/>
    </row>
    <row r="194">
      <c r="D194" s="117"/>
    </row>
    <row r="195">
      <c r="D195" s="117"/>
    </row>
    <row r="196">
      <c r="D196" s="117"/>
    </row>
    <row r="197">
      <c r="D197" s="117"/>
    </row>
    <row r="198">
      <c r="D198" s="117"/>
    </row>
    <row r="199">
      <c r="D199" s="117"/>
    </row>
    <row r="200">
      <c r="D200" s="117"/>
    </row>
    <row r="201">
      <c r="D201" s="117"/>
    </row>
    <row r="202">
      <c r="D202" s="117"/>
    </row>
    <row r="203">
      <c r="D203" s="117"/>
    </row>
    <row r="204">
      <c r="D204" s="117"/>
    </row>
    <row r="205">
      <c r="D205" s="117"/>
    </row>
    <row r="206">
      <c r="D206" s="117"/>
    </row>
    <row r="207">
      <c r="D207" s="117"/>
    </row>
    <row r="208">
      <c r="D208" s="117"/>
    </row>
    <row r="209">
      <c r="D209" s="117"/>
    </row>
    <row r="210">
      <c r="D210" s="117"/>
    </row>
    <row r="211">
      <c r="D211" s="117"/>
    </row>
    <row r="212">
      <c r="D212" s="117"/>
    </row>
    <row r="213">
      <c r="D213" s="117"/>
    </row>
    <row r="214">
      <c r="D214" s="117"/>
    </row>
    <row r="215">
      <c r="D215" s="117"/>
    </row>
    <row r="216">
      <c r="D216" s="117"/>
    </row>
    <row r="217">
      <c r="D217" s="117"/>
    </row>
    <row r="218">
      <c r="D218" s="117"/>
    </row>
    <row r="219">
      <c r="D219" s="117"/>
    </row>
    <row r="220">
      <c r="D220" s="117"/>
    </row>
    <row r="221">
      <c r="D221" s="117"/>
    </row>
    <row r="222">
      <c r="D222" s="117"/>
    </row>
    <row r="223">
      <c r="D223" s="117"/>
    </row>
    <row r="224">
      <c r="D224" s="117"/>
    </row>
    <row r="225">
      <c r="D225" s="117"/>
    </row>
    <row r="226">
      <c r="D226" s="117"/>
    </row>
    <row r="227">
      <c r="D227" s="117"/>
    </row>
    <row r="228">
      <c r="D228" s="117"/>
    </row>
    <row r="229">
      <c r="D229" s="117"/>
    </row>
    <row r="230">
      <c r="D230" s="117"/>
    </row>
    <row r="231">
      <c r="D231" s="117"/>
    </row>
    <row r="232">
      <c r="D232" s="117"/>
    </row>
    <row r="233">
      <c r="D233" s="117"/>
    </row>
    <row r="234">
      <c r="D234" s="117"/>
    </row>
    <row r="235">
      <c r="D235" s="117"/>
    </row>
    <row r="236">
      <c r="D236" s="117"/>
    </row>
    <row r="237">
      <c r="D237" s="117"/>
    </row>
    <row r="238">
      <c r="D238" s="117"/>
    </row>
    <row r="239">
      <c r="D239" s="117"/>
    </row>
    <row r="240">
      <c r="D240" s="117"/>
    </row>
    <row r="241">
      <c r="D241" s="117"/>
    </row>
    <row r="242">
      <c r="D242" s="117"/>
    </row>
    <row r="243">
      <c r="D243" s="117"/>
    </row>
    <row r="244">
      <c r="D244" s="117"/>
    </row>
    <row r="245">
      <c r="D245" s="117"/>
    </row>
    <row r="246">
      <c r="D246" s="117"/>
    </row>
    <row r="247">
      <c r="D247" s="117"/>
    </row>
    <row r="248">
      <c r="D248" s="117"/>
    </row>
    <row r="249">
      <c r="D249" s="117"/>
    </row>
    <row r="250">
      <c r="D250" s="117"/>
    </row>
    <row r="251">
      <c r="D251" s="117"/>
    </row>
    <row r="252">
      <c r="D252" s="117"/>
    </row>
    <row r="253">
      <c r="D253" s="117"/>
    </row>
    <row r="254">
      <c r="D254" s="117"/>
    </row>
    <row r="255">
      <c r="D255" s="117"/>
    </row>
    <row r="256">
      <c r="D256" s="117"/>
    </row>
    <row r="257">
      <c r="D257" s="117"/>
    </row>
    <row r="258">
      <c r="D258" s="117"/>
    </row>
    <row r="259">
      <c r="D259" s="117"/>
    </row>
    <row r="260">
      <c r="D260" s="117"/>
    </row>
    <row r="261">
      <c r="D261" s="117"/>
    </row>
    <row r="262">
      <c r="D262" s="117"/>
    </row>
    <row r="263">
      <c r="D263" s="117"/>
    </row>
    <row r="264">
      <c r="D264" s="117"/>
    </row>
    <row r="265">
      <c r="D265" s="117"/>
    </row>
    <row r="266">
      <c r="D266" s="117"/>
    </row>
    <row r="267">
      <c r="D267" s="117"/>
    </row>
    <row r="268">
      <c r="D268" s="117"/>
    </row>
    <row r="269">
      <c r="D269" s="117"/>
    </row>
    <row r="270">
      <c r="D270" s="117"/>
    </row>
    <row r="271">
      <c r="D271" s="117"/>
    </row>
    <row r="272">
      <c r="D272" s="117"/>
    </row>
    <row r="273">
      <c r="D273" s="117"/>
    </row>
    <row r="274">
      <c r="D274" s="117"/>
    </row>
    <row r="275">
      <c r="D275" s="117"/>
    </row>
    <row r="276">
      <c r="D276" s="117"/>
    </row>
    <row r="277">
      <c r="D277" s="117"/>
    </row>
    <row r="278">
      <c r="D278" s="117"/>
    </row>
    <row r="279">
      <c r="D279" s="117"/>
    </row>
    <row r="280">
      <c r="D280" s="117"/>
    </row>
    <row r="281">
      <c r="D281" s="117"/>
    </row>
    <row r="282">
      <c r="D282" s="117"/>
    </row>
    <row r="283">
      <c r="D283" s="117"/>
    </row>
    <row r="284">
      <c r="D284" s="117"/>
    </row>
    <row r="285">
      <c r="D285" s="117"/>
    </row>
    <row r="286">
      <c r="D286" s="117"/>
    </row>
    <row r="287">
      <c r="D287" s="117"/>
    </row>
    <row r="288">
      <c r="D288" s="117"/>
    </row>
    <row r="289">
      <c r="D289" s="117"/>
    </row>
    <row r="290">
      <c r="D290" s="117"/>
    </row>
    <row r="291">
      <c r="D291" s="117"/>
    </row>
    <row r="292">
      <c r="D292" s="117"/>
    </row>
    <row r="293">
      <c r="D293" s="117"/>
    </row>
    <row r="294">
      <c r="D294" s="117"/>
    </row>
    <row r="295">
      <c r="D295" s="117"/>
    </row>
    <row r="296">
      <c r="D296" s="117"/>
    </row>
    <row r="297">
      <c r="D297" s="117"/>
    </row>
    <row r="298">
      <c r="D298" s="117"/>
    </row>
    <row r="299">
      <c r="D299" s="117"/>
    </row>
    <row r="300">
      <c r="D300" s="117"/>
    </row>
    <row r="301">
      <c r="D301" s="117"/>
    </row>
    <row r="302">
      <c r="D302" s="117"/>
    </row>
    <row r="303">
      <c r="D303" s="117"/>
    </row>
    <row r="304">
      <c r="D304" s="117"/>
    </row>
    <row r="305">
      <c r="D305" s="117"/>
    </row>
    <row r="306">
      <c r="D306" s="117"/>
    </row>
    <row r="307">
      <c r="D307" s="117"/>
    </row>
    <row r="308">
      <c r="D308" s="117"/>
    </row>
    <row r="309">
      <c r="D309" s="117"/>
    </row>
    <row r="310">
      <c r="D310" s="117"/>
    </row>
    <row r="311">
      <c r="D311" s="117"/>
    </row>
    <row r="312">
      <c r="D312" s="117"/>
    </row>
    <row r="313">
      <c r="D313" s="117"/>
    </row>
    <row r="314">
      <c r="D314" s="117"/>
    </row>
    <row r="315">
      <c r="D315" s="117"/>
    </row>
    <row r="316">
      <c r="D316" s="117"/>
    </row>
    <row r="317">
      <c r="D317" s="117"/>
    </row>
    <row r="318">
      <c r="D318" s="117"/>
    </row>
    <row r="319">
      <c r="D319" s="117"/>
    </row>
    <row r="320">
      <c r="D320" s="117"/>
    </row>
    <row r="321">
      <c r="D321" s="117"/>
    </row>
    <row r="322">
      <c r="D322" s="117"/>
    </row>
    <row r="323">
      <c r="D323" s="117"/>
    </row>
    <row r="324">
      <c r="D324" s="117"/>
    </row>
    <row r="325">
      <c r="D325" s="117"/>
    </row>
    <row r="326">
      <c r="D326" s="117"/>
    </row>
    <row r="327">
      <c r="D327" s="117"/>
    </row>
    <row r="328">
      <c r="D328" s="117"/>
    </row>
    <row r="329">
      <c r="D329" s="117"/>
    </row>
    <row r="330">
      <c r="D330" s="117"/>
    </row>
    <row r="331">
      <c r="D331" s="117"/>
    </row>
    <row r="332">
      <c r="D332" s="117"/>
    </row>
    <row r="333">
      <c r="D333" s="117"/>
    </row>
    <row r="334">
      <c r="D334" s="117"/>
    </row>
    <row r="335">
      <c r="D335" s="117"/>
    </row>
    <row r="336">
      <c r="D336" s="117"/>
    </row>
    <row r="337">
      <c r="D337" s="117"/>
    </row>
    <row r="338">
      <c r="D338" s="117"/>
    </row>
    <row r="339">
      <c r="D339" s="117"/>
    </row>
    <row r="340">
      <c r="D340" s="117"/>
    </row>
    <row r="341">
      <c r="D341" s="117"/>
    </row>
    <row r="342">
      <c r="D342" s="117"/>
    </row>
    <row r="343">
      <c r="D343" s="117"/>
    </row>
    <row r="344">
      <c r="D344" s="117"/>
    </row>
    <row r="345">
      <c r="D345" s="117"/>
    </row>
    <row r="346">
      <c r="D346" s="117"/>
    </row>
    <row r="347">
      <c r="D347" s="117"/>
    </row>
    <row r="348">
      <c r="D348" s="117"/>
    </row>
    <row r="349">
      <c r="D349" s="117"/>
    </row>
    <row r="350">
      <c r="D350" s="117"/>
    </row>
    <row r="351">
      <c r="D351" s="117"/>
    </row>
    <row r="352">
      <c r="D352" s="117"/>
    </row>
    <row r="353">
      <c r="D353" s="117"/>
    </row>
    <row r="354">
      <c r="D354" s="117"/>
    </row>
    <row r="355">
      <c r="D355" s="117"/>
    </row>
    <row r="356">
      <c r="D356" s="117"/>
    </row>
    <row r="357">
      <c r="D357" s="117"/>
    </row>
    <row r="358">
      <c r="D358" s="117"/>
    </row>
    <row r="359">
      <c r="D359" s="117"/>
    </row>
    <row r="360">
      <c r="D360" s="117"/>
    </row>
    <row r="361">
      <c r="D361" s="117"/>
    </row>
    <row r="362">
      <c r="D362" s="117"/>
    </row>
    <row r="363">
      <c r="D363" s="117"/>
    </row>
    <row r="364">
      <c r="D364" s="117"/>
    </row>
    <row r="365">
      <c r="D365" s="117"/>
    </row>
    <row r="366">
      <c r="D366" s="117"/>
    </row>
    <row r="367">
      <c r="D367" s="117"/>
    </row>
    <row r="368">
      <c r="D368" s="117"/>
    </row>
    <row r="369">
      <c r="D369" s="117"/>
    </row>
    <row r="370">
      <c r="D370" s="117"/>
    </row>
    <row r="371">
      <c r="D371" s="117"/>
    </row>
    <row r="372">
      <c r="D372" s="117"/>
    </row>
    <row r="373">
      <c r="D373" s="117"/>
    </row>
    <row r="374">
      <c r="D374" s="117"/>
    </row>
    <row r="375">
      <c r="D375" s="117"/>
    </row>
    <row r="376">
      <c r="D376" s="117"/>
    </row>
    <row r="377">
      <c r="D377" s="117"/>
    </row>
    <row r="378">
      <c r="D378" s="117"/>
    </row>
    <row r="379">
      <c r="D379" s="117"/>
    </row>
    <row r="380">
      <c r="D380" s="117"/>
    </row>
    <row r="381">
      <c r="D381" s="117"/>
    </row>
    <row r="382">
      <c r="D382" s="117"/>
    </row>
    <row r="383">
      <c r="D383" s="117"/>
    </row>
    <row r="384">
      <c r="D384" s="117"/>
    </row>
    <row r="385">
      <c r="D385" s="117"/>
    </row>
    <row r="386">
      <c r="D386" s="117"/>
    </row>
    <row r="387">
      <c r="D387" s="117"/>
    </row>
    <row r="388">
      <c r="D388" s="117"/>
    </row>
    <row r="389">
      <c r="D389" s="117"/>
    </row>
    <row r="390">
      <c r="D390" s="117"/>
    </row>
    <row r="391">
      <c r="D391" s="117"/>
    </row>
    <row r="392">
      <c r="D392" s="117"/>
    </row>
    <row r="393">
      <c r="D393" s="117"/>
    </row>
    <row r="394">
      <c r="D394" s="117"/>
    </row>
    <row r="395">
      <c r="D395" s="117"/>
    </row>
    <row r="396">
      <c r="D396" s="117"/>
    </row>
    <row r="397">
      <c r="D397" s="117"/>
    </row>
    <row r="398">
      <c r="D398" s="117"/>
    </row>
    <row r="399">
      <c r="D399" s="117"/>
    </row>
    <row r="400">
      <c r="D400" s="117"/>
    </row>
    <row r="401">
      <c r="D401" s="117"/>
    </row>
    <row r="402">
      <c r="D402" s="117"/>
    </row>
    <row r="403">
      <c r="D403" s="117"/>
    </row>
    <row r="404">
      <c r="D404" s="117"/>
    </row>
    <row r="405">
      <c r="D405" s="117"/>
    </row>
    <row r="406">
      <c r="D406" s="117"/>
    </row>
    <row r="407">
      <c r="D407" s="117"/>
    </row>
    <row r="408">
      <c r="D408" s="117"/>
    </row>
    <row r="409">
      <c r="D409" s="117"/>
    </row>
    <row r="410">
      <c r="D410" s="117"/>
    </row>
    <row r="411">
      <c r="D411" s="117"/>
    </row>
    <row r="412">
      <c r="D412" s="117"/>
    </row>
    <row r="413">
      <c r="D413" s="117"/>
    </row>
    <row r="414">
      <c r="D414" s="117"/>
    </row>
    <row r="415">
      <c r="D415" s="117"/>
    </row>
    <row r="416">
      <c r="D416" s="117"/>
    </row>
    <row r="417">
      <c r="D417" s="117"/>
    </row>
    <row r="418">
      <c r="D418" s="117"/>
    </row>
    <row r="419">
      <c r="D419" s="117"/>
    </row>
    <row r="420">
      <c r="D420" s="117"/>
    </row>
    <row r="421">
      <c r="D421" s="117"/>
    </row>
    <row r="422">
      <c r="D422" s="117"/>
    </row>
    <row r="423">
      <c r="D423" s="117"/>
    </row>
    <row r="424">
      <c r="D424" s="117"/>
    </row>
    <row r="425">
      <c r="D425" s="117"/>
    </row>
    <row r="426">
      <c r="D426" s="117"/>
    </row>
    <row r="427">
      <c r="D427" s="117"/>
    </row>
    <row r="428">
      <c r="D428" s="117"/>
    </row>
    <row r="429">
      <c r="D429" s="117"/>
    </row>
    <row r="430">
      <c r="D430" s="117"/>
    </row>
    <row r="431">
      <c r="D431" s="117"/>
    </row>
    <row r="432">
      <c r="D432" s="117"/>
    </row>
    <row r="433">
      <c r="D433" s="117"/>
    </row>
    <row r="434">
      <c r="D434" s="117"/>
    </row>
    <row r="435">
      <c r="D435" s="117"/>
    </row>
    <row r="436">
      <c r="D436" s="117"/>
    </row>
    <row r="437">
      <c r="D437" s="117"/>
    </row>
    <row r="438">
      <c r="D438" s="117"/>
    </row>
    <row r="439">
      <c r="D439" s="117"/>
    </row>
    <row r="440">
      <c r="D440" s="117"/>
    </row>
    <row r="441">
      <c r="D441" s="117"/>
    </row>
    <row r="442">
      <c r="D442" s="117"/>
    </row>
    <row r="443">
      <c r="D443" s="117"/>
    </row>
    <row r="444">
      <c r="D444" s="117"/>
    </row>
    <row r="445">
      <c r="D445" s="117"/>
    </row>
    <row r="446">
      <c r="D446" s="117"/>
    </row>
    <row r="447">
      <c r="D447" s="117"/>
    </row>
    <row r="448">
      <c r="D448" s="117"/>
    </row>
    <row r="449">
      <c r="D449" s="117"/>
    </row>
    <row r="450">
      <c r="D450" s="117"/>
    </row>
    <row r="451">
      <c r="D451" s="117"/>
    </row>
    <row r="452">
      <c r="D452" s="117"/>
    </row>
    <row r="453">
      <c r="D453" s="117"/>
    </row>
    <row r="454">
      <c r="D454" s="117"/>
    </row>
    <row r="455">
      <c r="D455" s="117"/>
    </row>
    <row r="456">
      <c r="D456" s="117"/>
    </row>
    <row r="457">
      <c r="D457" s="117"/>
    </row>
    <row r="458">
      <c r="D458" s="117"/>
    </row>
    <row r="459">
      <c r="D459" s="117"/>
    </row>
    <row r="460">
      <c r="D460" s="117"/>
    </row>
    <row r="461">
      <c r="D461" s="117"/>
    </row>
    <row r="462">
      <c r="D462" s="117"/>
    </row>
    <row r="463">
      <c r="D463" s="117"/>
    </row>
    <row r="464">
      <c r="D464" s="117"/>
    </row>
    <row r="465">
      <c r="D465" s="117"/>
    </row>
    <row r="466">
      <c r="D466" s="117"/>
    </row>
    <row r="467">
      <c r="D467" s="117"/>
    </row>
    <row r="468">
      <c r="D468" s="117"/>
    </row>
    <row r="469">
      <c r="D469" s="117"/>
    </row>
    <row r="470">
      <c r="D470" s="117"/>
    </row>
    <row r="471">
      <c r="D471" s="117"/>
    </row>
    <row r="472">
      <c r="D472" s="117"/>
    </row>
    <row r="473">
      <c r="D473" s="117"/>
    </row>
    <row r="474">
      <c r="D474" s="117"/>
    </row>
    <row r="475">
      <c r="D475" s="117"/>
    </row>
    <row r="476">
      <c r="D476" s="117"/>
    </row>
    <row r="477">
      <c r="D477" s="117"/>
    </row>
    <row r="478">
      <c r="D478" s="117"/>
    </row>
    <row r="479">
      <c r="D479" s="117"/>
    </row>
    <row r="480">
      <c r="D480" s="117"/>
    </row>
    <row r="481">
      <c r="D481" s="117"/>
    </row>
    <row r="482">
      <c r="D482" s="117"/>
    </row>
    <row r="483">
      <c r="D483" s="117"/>
    </row>
    <row r="484">
      <c r="D484" s="117"/>
    </row>
    <row r="485">
      <c r="D485" s="117"/>
    </row>
    <row r="486">
      <c r="D486" s="117"/>
    </row>
    <row r="487">
      <c r="D487" s="117"/>
    </row>
    <row r="488">
      <c r="D488" s="117"/>
    </row>
    <row r="489">
      <c r="D489" s="117"/>
    </row>
    <row r="490">
      <c r="D490" s="117"/>
    </row>
    <row r="491">
      <c r="D491" s="117"/>
    </row>
    <row r="492">
      <c r="D492" s="117"/>
    </row>
    <row r="493">
      <c r="D493" s="117"/>
    </row>
    <row r="494">
      <c r="D494" s="117"/>
    </row>
    <row r="495">
      <c r="D495" s="117"/>
    </row>
    <row r="496">
      <c r="D496" s="117"/>
    </row>
    <row r="497">
      <c r="D497" s="117"/>
    </row>
    <row r="498">
      <c r="D498" s="117"/>
    </row>
    <row r="499">
      <c r="D499" s="117"/>
    </row>
    <row r="500">
      <c r="D500" s="117"/>
    </row>
    <row r="501">
      <c r="D501" s="117"/>
    </row>
    <row r="502">
      <c r="D502" s="117"/>
    </row>
    <row r="503">
      <c r="D503" s="117"/>
    </row>
    <row r="504">
      <c r="D504" s="117"/>
    </row>
    <row r="505">
      <c r="D505" s="117"/>
    </row>
    <row r="506">
      <c r="D506" s="117"/>
    </row>
    <row r="507">
      <c r="D507" s="117"/>
    </row>
    <row r="508">
      <c r="D508" s="117"/>
    </row>
    <row r="509">
      <c r="D509" s="117"/>
    </row>
    <row r="510">
      <c r="D510" s="117"/>
    </row>
    <row r="511">
      <c r="D511" s="117"/>
    </row>
    <row r="512">
      <c r="D512" s="117"/>
    </row>
    <row r="513">
      <c r="D513" s="117"/>
    </row>
    <row r="514">
      <c r="D514" s="117"/>
    </row>
    <row r="515">
      <c r="D515" s="117"/>
    </row>
    <row r="516">
      <c r="D516" s="117"/>
    </row>
    <row r="517">
      <c r="D517" s="117"/>
    </row>
    <row r="518">
      <c r="D518" s="117"/>
    </row>
    <row r="519">
      <c r="D519" s="117"/>
    </row>
    <row r="520">
      <c r="D520" s="117"/>
    </row>
    <row r="521">
      <c r="D521" s="117"/>
    </row>
    <row r="522">
      <c r="D522" s="117"/>
    </row>
    <row r="523">
      <c r="D523" s="117"/>
    </row>
    <row r="524">
      <c r="D524" s="117"/>
    </row>
    <row r="525">
      <c r="D525" s="117"/>
    </row>
    <row r="526">
      <c r="D526" s="117"/>
    </row>
    <row r="527">
      <c r="D527" s="117"/>
    </row>
    <row r="528">
      <c r="D528" s="117"/>
    </row>
    <row r="529">
      <c r="D529" s="117"/>
    </row>
    <row r="530">
      <c r="D530" s="117"/>
    </row>
    <row r="531">
      <c r="D531" s="117"/>
    </row>
    <row r="532">
      <c r="D532" s="117"/>
    </row>
    <row r="533">
      <c r="D533" s="117"/>
    </row>
    <row r="534">
      <c r="D534" s="117"/>
    </row>
    <row r="535">
      <c r="D535" s="117"/>
    </row>
    <row r="536">
      <c r="D536" s="117"/>
    </row>
    <row r="537">
      <c r="D537" s="117"/>
    </row>
    <row r="538">
      <c r="D538" s="117"/>
    </row>
    <row r="539">
      <c r="D539" s="117"/>
    </row>
    <row r="540">
      <c r="D540" s="117"/>
    </row>
    <row r="541">
      <c r="D541" s="117"/>
    </row>
    <row r="542">
      <c r="D542" s="117"/>
    </row>
    <row r="543">
      <c r="D543" s="117"/>
    </row>
    <row r="544">
      <c r="D544" s="117"/>
    </row>
    <row r="545">
      <c r="D545" s="117"/>
    </row>
    <row r="546">
      <c r="D546" s="117"/>
    </row>
    <row r="547">
      <c r="D547" s="117"/>
    </row>
    <row r="548">
      <c r="D548" s="117"/>
    </row>
    <row r="549">
      <c r="D549" s="117"/>
    </row>
    <row r="550">
      <c r="D550" s="117"/>
    </row>
    <row r="551">
      <c r="D551" s="117"/>
    </row>
    <row r="552">
      <c r="D552" s="117"/>
    </row>
    <row r="553">
      <c r="D553" s="117"/>
    </row>
    <row r="554">
      <c r="D554" s="117"/>
    </row>
    <row r="555">
      <c r="D555" s="117"/>
    </row>
    <row r="556">
      <c r="D556" s="117"/>
    </row>
    <row r="557">
      <c r="D557" s="117"/>
    </row>
    <row r="558">
      <c r="D558" s="117"/>
    </row>
    <row r="559">
      <c r="D559" s="117"/>
    </row>
    <row r="560">
      <c r="D560" s="117"/>
    </row>
    <row r="561">
      <c r="D561" s="117"/>
    </row>
    <row r="562">
      <c r="D562" s="117"/>
    </row>
    <row r="563">
      <c r="D563" s="117"/>
    </row>
    <row r="564">
      <c r="D564" s="117"/>
    </row>
    <row r="565">
      <c r="D565" s="117"/>
    </row>
    <row r="566">
      <c r="D566" s="117"/>
    </row>
    <row r="567">
      <c r="D567" s="117"/>
    </row>
    <row r="568">
      <c r="D568" s="117"/>
    </row>
    <row r="569">
      <c r="D569" s="117"/>
    </row>
    <row r="570">
      <c r="D570" s="117"/>
    </row>
    <row r="571">
      <c r="D571" s="117"/>
    </row>
    <row r="572">
      <c r="D572" s="117"/>
    </row>
    <row r="573">
      <c r="D573" s="117"/>
    </row>
    <row r="574">
      <c r="D574" s="117"/>
    </row>
    <row r="575">
      <c r="D575" s="117"/>
    </row>
    <row r="576">
      <c r="D576" s="117"/>
    </row>
    <row r="577">
      <c r="D577" s="117"/>
    </row>
    <row r="578">
      <c r="D578" s="117"/>
    </row>
    <row r="579">
      <c r="D579" s="117"/>
    </row>
    <row r="580">
      <c r="D580" s="117"/>
    </row>
    <row r="581">
      <c r="D581" s="117"/>
    </row>
    <row r="582">
      <c r="D582" s="117"/>
    </row>
    <row r="583">
      <c r="D583" s="117"/>
    </row>
    <row r="584">
      <c r="D584" s="117"/>
    </row>
    <row r="585">
      <c r="D585" s="117"/>
    </row>
    <row r="586">
      <c r="D586" s="117"/>
    </row>
    <row r="587">
      <c r="D587" s="117"/>
    </row>
    <row r="588">
      <c r="D588" s="117"/>
    </row>
    <row r="589">
      <c r="D589" s="117"/>
    </row>
    <row r="590">
      <c r="D590" s="117"/>
    </row>
    <row r="591">
      <c r="D591" s="117"/>
    </row>
    <row r="592">
      <c r="D592" s="117"/>
    </row>
    <row r="593">
      <c r="D593" s="117"/>
    </row>
    <row r="594">
      <c r="D594" s="117"/>
    </row>
    <row r="595">
      <c r="D595" s="117"/>
    </row>
    <row r="596">
      <c r="D596" s="117"/>
    </row>
    <row r="597">
      <c r="D597" s="117"/>
    </row>
    <row r="598">
      <c r="D598" s="117"/>
    </row>
    <row r="599">
      <c r="D599" s="117"/>
    </row>
    <row r="600">
      <c r="D600" s="117"/>
    </row>
    <row r="601">
      <c r="D601" s="117"/>
    </row>
    <row r="602">
      <c r="D602" s="117"/>
    </row>
    <row r="603">
      <c r="D603" s="117"/>
    </row>
    <row r="604">
      <c r="D604" s="117"/>
    </row>
    <row r="605">
      <c r="D605" s="117"/>
    </row>
    <row r="606">
      <c r="D606" s="117"/>
    </row>
    <row r="607">
      <c r="D607" s="117"/>
    </row>
    <row r="608">
      <c r="D608" s="117"/>
    </row>
    <row r="609">
      <c r="D609" s="117"/>
    </row>
    <row r="610">
      <c r="D610" s="117"/>
    </row>
    <row r="611">
      <c r="D611" s="117"/>
    </row>
    <row r="612">
      <c r="D612" s="117"/>
    </row>
    <row r="613">
      <c r="D613" s="117"/>
    </row>
    <row r="614">
      <c r="D614" s="117"/>
    </row>
    <row r="615">
      <c r="D615" s="117"/>
    </row>
    <row r="616">
      <c r="D616" s="117"/>
    </row>
    <row r="617">
      <c r="D617" s="117"/>
    </row>
    <row r="618">
      <c r="D618" s="117"/>
    </row>
    <row r="619">
      <c r="D619" s="117"/>
    </row>
    <row r="620">
      <c r="D620" s="117"/>
    </row>
    <row r="621">
      <c r="D621" s="117"/>
    </row>
    <row r="622">
      <c r="D622" s="117"/>
    </row>
    <row r="623">
      <c r="D623" s="117"/>
    </row>
    <row r="624">
      <c r="D624" s="117"/>
    </row>
    <row r="625">
      <c r="D625" s="117"/>
    </row>
    <row r="626">
      <c r="D626" s="117"/>
    </row>
    <row r="627">
      <c r="D627" s="117"/>
    </row>
    <row r="628">
      <c r="D628" s="117"/>
    </row>
    <row r="629">
      <c r="D629" s="117"/>
    </row>
    <row r="630">
      <c r="D630" s="117"/>
    </row>
    <row r="631">
      <c r="D631" s="117"/>
    </row>
    <row r="632">
      <c r="D632" s="117"/>
    </row>
    <row r="633">
      <c r="D633" s="117"/>
    </row>
    <row r="634">
      <c r="D634" s="117"/>
    </row>
    <row r="635">
      <c r="D635" s="117"/>
    </row>
    <row r="636">
      <c r="D636" s="117"/>
    </row>
    <row r="637">
      <c r="D637" s="117"/>
    </row>
    <row r="638">
      <c r="D638" s="117"/>
    </row>
    <row r="639">
      <c r="D639" s="117"/>
    </row>
    <row r="640">
      <c r="D640" s="117"/>
    </row>
    <row r="641">
      <c r="D641" s="117"/>
    </row>
    <row r="642">
      <c r="D642" s="117"/>
    </row>
    <row r="643">
      <c r="D643" s="117"/>
    </row>
    <row r="644">
      <c r="D644" s="117"/>
    </row>
    <row r="645">
      <c r="D645" s="117"/>
    </row>
    <row r="646">
      <c r="D646" s="117"/>
    </row>
    <row r="647">
      <c r="D647" s="117"/>
    </row>
    <row r="648">
      <c r="D648" s="117"/>
    </row>
    <row r="649">
      <c r="D649" s="117"/>
    </row>
    <row r="650">
      <c r="D650" s="117"/>
    </row>
    <row r="651">
      <c r="D651" s="117"/>
    </row>
    <row r="652">
      <c r="D652" s="117"/>
    </row>
    <row r="653">
      <c r="D653" s="117"/>
    </row>
    <row r="654">
      <c r="D654" s="117"/>
    </row>
    <row r="655">
      <c r="D655" s="117"/>
    </row>
    <row r="656">
      <c r="D656" s="117"/>
    </row>
    <row r="657">
      <c r="D657" s="117"/>
    </row>
    <row r="658">
      <c r="D658" s="117"/>
    </row>
    <row r="659">
      <c r="D659" s="117"/>
    </row>
    <row r="660">
      <c r="D660" s="117"/>
    </row>
    <row r="661">
      <c r="D661" s="117"/>
    </row>
    <row r="662">
      <c r="D662" s="117"/>
    </row>
    <row r="663">
      <c r="D663" s="117"/>
    </row>
    <row r="664">
      <c r="D664" s="117"/>
    </row>
    <row r="665">
      <c r="D665" s="117"/>
    </row>
    <row r="666">
      <c r="D666" s="117"/>
    </row>
    <row r="667">
      <c r="D667" s="117"/>
    </row>
    <row r="668">
      <c r="D668" s="117"/>
    </row>
    <row r="669">
      <c r="D669" s="117"/>
    </row>
    <row r="670">
      <c r="D670" s="117"/>
    </row>
    <row r="671">
      <c r="D671" s="117"/>
    </row>
    <row r="672">
      <c r="D672" s="117"/>
    </row>
    <row r="673">
      <c r="D673" s="117"/>
    </row>
    <row r="674">
      <c r="D674" s="117"/>
    </row>
    <row r="675">
      <c r="D675" s="117"/>
    </row>
    <row r="676">
      <c r="D676" s="117"/>
    </row>
    <row r="677">
      <c r="D677" s="117"/>
    </row>
    <row r="678">
      <c r="D678" s="117"/>
    </row>
    <row r="679">
      <c r="D679" s="117"/>
    </row>
    <row r="680">
      <c r="D680" s="117"/>
    </row>
    <row r="681">
      <c r="D681" s="117"/>
    </row>
    <row r="682">
      <c r="D682" s="117"/>
    </row>
    <row r="683">
      <c r="D683" s="117"/>
    </row>
    <row r="684">
      <c r="D684" s="117"/>
    </row>
    <row r="685">
      <c r="D685" s="117"/>
    </row>
    <row r="686">
      <c r="D686" s="117"/>
    </row>
    <row r="687">
      <c r="D687" s="117"/>
    </row>
    <row r="688">
      <c r="D688" s="117"/>
    </row>
    <row r="689">
      <c r="D689" s="117"/>
    </row>
    <row r="690">
      <c r="D690" s="117"/>
    </row>
    <row r="691">
      <c r="D691" s="117"/>
    </row>
    <row r="692">
      <c r="D692" s="117"/>
    </row>
    <row r="693">
      <c r="D693" s="117"/>
    </row>
    <row r="694">
      <c r="D694" s="117"/>
    </row>
    <row r="695">
      <c r="D695" s="117"/>
    </row>
    <row r="696">
      <c r="D696" s="117"/>
    </row>
    <row r="697">
      <c r="D697" s="117"/>
    </row>
    <row r="698">
      <c r="D698" s="117"/>
    </row>
    <row r="699">
      <c r="D699" s="117"/>
    </row>
    <row r="700">
      <c r="D700" s="117"/>
    </row>
    <row r="701">
      <c r="D701" s="117"/>
    </row>
    <row r="702">
      <c r="D702" s="117"/>
    </row>
    <row r="703">
      <c r="D703" s="117"/>
    </row>
    <row r="704">
      <c r="D704" s="117"/>
    </row>
    <row r="705">
      <c r="D705" s="117"/>
    </row>
    <row r="706">
      <c r="D706" s="117"/>
    </row>
    <row r="707">
      <c r="D707" s="117"/>
    </row>
    <row r="708">
      <c r="D708" s="117"/>
    </row>
    <row r="709">
      <c r="D709" s="117"/>
    </row>
    <row r="710">
      <c r="D710" s="117"/>
    </row>
    <row r="711">
      <c r="D711" s="117"/>
    </row>
    <row r="712">
      <c r="D712" s="117"/>
    </row>
    <row r="713">
      <c r="D713" s="117"/>
    </row>
    <row r="714">
      <c r="D714" s="117"/>
    </row>
    <row r="715">
      <c r="D715" s="117"/>
    </row>
    <row r="716">
      <c r="D716" s="117"/>
    </row>
    <row r="717">
      <c r="D717" s="117"/>
    </row>
    <row r="718">
      <c r="D718" s="117"/>
    </row>
    <row r="719">
      <c r="D719" s="117"/>
    </row>
    <row r="720">
      <c r="D720" s="117"/>
    </row>
    <row r="721">
      <c r="D721" s="117"/>
    </row>
    <row r="722">
      <c r="D722" s="117"/>
    </row>
    <row r="723">
      <c r="D723" s="117"/>
    </row>
    <row r="724">
      <c r="D724" s="117"/>
    </row>
    <row r="725">
      <c r="D725" s="117"/>
    </row>
    <row r="726">
      <c r="D726" s="117"/>
    </row>
    <row r="727">
      <c r="D727" s="117"/>
    </row>
    <row r="728">
      <c r="D728" s="117"/>
    </row>
    <row r="729">
      <c r="D729" s="117"/>
    </row>
    <row r="730">
      <c r="D730" s="117"/>
    </row>
    <row r="731">
      <c r="D731" s="117"/>
    </row>
    <row r="732">
      <c r="D732" s="117"/>
    </row>
    <row r="733">
      <c r="D733" s="117"/>
    </row>
    <row r="734">
      <c r="D734" s="117"/>
    </row>
    <row r="735">
      <c r="D735" s="117"/>
    </row>
    <row r="736">
      <c r="D736" s="117"/>
    </row>
    <row r="737">
      <c r="D737" s="117"/>
    </row>
    <row r="738">
      <c r="D738" s="117"/>
    </row>
    <row r="739">
      <c r="D739" s="117"/>
    </row>
    <row r="740">
      <c r="D740" s="117"/>
    </row>
    <row r="741">
      <c r="D741" s="117"/>
    </row>
    <row r="742">
      <c r="D742" s="117"/>
    </row>
    <row r="743">
      <c r="D743" s="117"/>
    </row>
    <row r="744">
      <c r="D744" s="117"/>
    </row>
    <row r="745">
      <c r="D745" s="117"/>
    </row>
    <row r="746">
      <c r="D746" s="117"/>
    </row>
    <row r="747">
      <c r="D747" s="117"/>
    </row>
    <row r="748">
      <c r="D748" s="117"/>
    </row>
    <row r="749">
      <c r="D749" s="117"/>
    </row>
    <row r="750">
      <c r="D750" s="117"/>
    </row>
    <row r="751">
      <c r="D751" s="117"/>
    </row>
    <row r="752">
      <c r="D752" s="117"/>
    </row>
    <row r="753">
      <c r="D753" s="117"/>
    </row>
    <row r="754">
      <c r="D754" s="117"/>
    </row>
    <row r="755">
      <c r="D755" s="117"/>
    </row>
    <row r="756">
      <c r="D756" s="117"/>
    </row>
    <row r="757">
      <c r="D757" s="117"/>
    </row>
    <row r="758">
      <c r="D758" s="117"/>
    </row>
    <row r="759">
      <c r="D759" s="117"/>
    </row>
    <row r="760">
      <c r="D760" s="117"/>
    </row>
    <row r="761">
      <c r="D761" s="117"/>
    </row>
    <row r="762">
      <c r="D762" s="117"/>
    </row>
    <row r="763">
      <c r="D763" s="117"/>
    </row>
    <row r="764">
      <c r="D764" s="117"/>
    </row>
    <row r="765">
      <c r="D765" s="117"/>
    </row>
    <row r="766">
      <c r="D766" s="117"/>
    </row>
    <row r="767">
      <c r="D767" s="117"/>
    </row>
    <row r="768">
      <c r="D768" s="117"/>
    </row>
    <row r="769">
      <c r="D769" s="117"/>
    </row>
    <row r="770">
      <c r="D770" s="117"/>
    </row>
    <row r="771">
      <c r="D771" s="117"/>
    </row>
    <row r="772">
      <c r="D772" s="117"/>
    </row>
    <row r="773">
      <c r="D773" s="117"/>
    </row>
    <row r="774">
      <c r="D774" s="117"/>
    </row>
    <row r="775">
      <c r="D775" s="117"/>
    </row>
    <row r="776">
      <c r="D776" s="117"/>
    </row>
    <row r="777">
      <c r="D777" s="117"/>
    </row>
    <row r="778">
      <c r="D778" s="117"/>
    </row>
    <row r="779">
      <c r="D779" s="117"/>
    </row>
    <row r="780">
      <c r="D780" s="117"/>
    </row>
    <row r="781">
      <c r="D781" s="117"/>
    </row>
    <row r="782">
      <c r="D782" s="117"/>
    </row>
    <row r="783">
      <c r="D783" s="117"/>
    </row>
    <row r="784">
      <c r="D784" s="117"/>
    </row>
    <row r="785">
      <c r="D785" s="117"/>
    </row>
    <row r="786">
      <c r="D786" s="117"/>
    </row>
    <row r="787">
      <c r="D787" s="117"/>
    </row>
    <row r="788">
      <c r="D788" s="117"/>
    </row>
    <row r="789">
      <c r="D789" s="117"/>
    </row>
    <row r="790">
      <c r="D790" s="117"/>
    </row>
    <row r="791">
      <c r="D791" s="117"/>
    </row>
    <row r="792">
      <c r="D792" s="117"/>
    </row>
    <row r="793">
      <c r="D793" s="117"/>
    </row>
    <row r="794">
      <c r="D794" s="117"/>
    </row>
    <row r="795">
      <c r="D795" s="117"/>
    </row>
    <row r="796">
      <c r="D796" s="117"/>
    </row>
    <row r="797">
      <c r="D797" s="117"/>
    </row>
    <row r="798">
      <c r="D798" s="117"/>
    </row>
    <row r="799">
      <c r="D799" s="117"/>
    </row>
    <row r="800">
      <c r="D800" s="117"/>
    </row>
    <row r="801">
      <c r="D801" s="117"/>
    </row>
    <row r="802">
      <c r="D802" s="117"/>
    </row>
    <row r="803">
      <c r="D803" s="117"/>
    </row>
    <row r="804">
      <c r="D804" s="117"/>
    </row>
    <row r="805">
      <c r="D805" s="117"/>
    </row>
    <row r="806">
      <c r="D806" s="117"/>
    </row>
    <row r="807">
      <c r="D807" s="117"/>
    </row>
    <row r="808">
      <c r="D808" s="117"/>
    </row>
    <row r="809">
      <c r="D809" s="117"/>
    </row>
    <row r="810">
      <c r="D810" s="117"/>
    </row>
    <row r="811">
      <c r="D811" s="117"/>
    </row>
    <row r="812">
      <c r="D812" s="117"/>
    </row>
    <row r="813">
      <c r="D813" s="117"/>
    </row>
    <row r="814">
      <c r="D814" s="117"/>
    </row>
    <row r="815">
      <c r="D815" s="117"/>
    </row>
    <row r="816">
      <c r="D816" s="117"/>
    </row>
    <row r="817">
      <c r="D817" s="117"/>
    </row>
    <row r="818">
      <c r="D818" s="117"/>
    </row>
    <row r="819">
      <c r="D819" s="117"/>
    </row>
    <row r="820">
      <c r="D820" s="117"/>
    </row>
    <row r="821">
      <c r="D821" s="117"/>
    </row>
    <row r="822">
      <c r="D822" s="117"/>
    </row>
    <row r="823">
      <c r="D823" s="117"/>
    </row>
    <row r="824">
      <c r="D824" s="117"/>
    </row>
    <row r="825">
      <c r="D825" s="117"/>
    </row>
    <row r="826">
      <c r="D826" s="117"/>
    </row>
    <row r="827">
      <c r="D827" s="117"/>
    </row>
    <row r="828">
      <c r="D828" s="117"/>
    </row>
    <row r="829">
      <c r="D829" s="117"/>
    </row>
    <row r="830">
      <c r="D830" s="117"/>
    </row>
    <row r="831">
      <c r="D831" s="117"/>
    </row>
    <row r="832">
      <c r="D832" s="117"/>
    </row>
    <row r="833">
      <c r="D833" s="117"/>
    </row>
    <row r="834">
      <c r="D834" s="117"/>
    </row>
    <row r="835">
      <c r="D835" s="117"/>
    </row>
    <row r="836">
      <c r="D836" s="117"/>
    </row>
    <row r="837">
      <c r="D837" s="117"/>
    </row>
    <row r="838">
      <c r="D838" s="117"/>
    </row>
    <row r="839">
      <c r="D839" s="117"/>
    </row>
    <row r="840">
      <c r="D840" s="117"/>
    </row>
    <row r="841">
      <c r="D841" s="117"/>
    </row>
    <row r="842">
      <c r="D842" s="117"/>
    </row>
    <row r="843">
      <c r="D843" s="117"/>
    </row>
    <row r="844">
      <c r="D844" s="117"/>
    </row>
    <row r="845">
      <c r="D845" s="117"/>
    </row>
    <row r="846">
      <c r="D846" s="117"/>
    </row>
    <row r="847">
      <c r="D847" s="117"/>
    </row>
    <row r="848">
      <c r="D848" s="117"/>
    </row>
    <row r="849">
      <c r="D849" s="117"/>
    </row>
    <row r="850">
      <c r="D850" s="117"/>
    </row>
    <row r="851">
      <c r="D851" s="117"/>
    </row>
    <row r="852">
      <c r="D852" s="117"/>
    </row>
    <row r="853">
      <c r="D853" s="117"/>
    </row>
    <row r="854">
      <c r="D854" s="117"/>
    </row>
    <row r="855">
      <c r="D855" s="117"/>
    </row>
    <row r="856">
      <c r="D856" s="117"/>
    </row>
    <row r="857">
      <c r="D857" s="117"/>
    </row>
    <row r="858">
      <c r="D858" s="117"/>
    </row>
    <row r="859">
      <c r="D859" s="117"/>
    </row>
    <row r="860">
      <c r="D860" s="117"/>
    </row>
    <row r="861">
      <c r="D861" s="117"/>
    </row>
    <row r="862">
      <c r="D862" s="117"/>
    </row>
    <row r="863">
      <c r="D863" s="117"/>
    </row>
    <row r="864">
      <c r="D864" s="117"/>
    </row>
    <row r="865">
      <c r="D865" s="117"/>
    </row>
    <row r="866">
      <c r="D866" s="117"/>
    </row>
    <row r="867">
      <c r="D867" s="117"/>
    </row>
    <row r="868">
      <c r="D868" s="117"/>
    </row>
    <row r="869">
      <c r="D869" s="117"/>
    </row>
    <row r="870">
      <c r="D870" s="117"/>
    </row>
    <row r="871">
      <c r="D871" s="117"/>
    </row>
    <row r="872">
      <c r="D872" s="117"/>
    </row>
    <row r="873">
      <c r="D873" s="117"/>
    </row>
    <row r="874">
      <c r="D874" s="117"/>
    </row>
    <row r="875">
      <c r="D875" s="117"/>
    </row>
    <row r="876">
      <c r="D876" s="117"/>
    </row>
    <row r="877">
      <c r="D877" s="117"/>
    </row>
    <row r="878">
      <c r="D878" s="117"/>
    </row>
    <row r="879">
      <c r="D879" s="117"/>
    </row>
    <row r="880">
      <c r="D880" s="117"/>
    </row>
    <row r="881">
      <c r="D881" s="117"/>
    </row>
    <row r="882">
      <c r="D882" s="117"/>
    </row>
    <row r="883">
      <c r="D883" s="117"/>
    </row>
    <row r="884">
      <c r="D884" s="117"/>
    </row>
    <row r="885">
      <c r="D885" s="117"/>
    </row>
    <row r="886">
      <c r="D886" s="117"/>
    </row>
    <row r="887">
      <c r="D887" s="117"/>
    </row>
    <row r="888">
      <c r="D888" s="117"/>
    </row>
    <row r="889">
      <c r="D889" s="117"/>
    </row>
    <row r="890">
      <c r="D890" s="117"/>
    </row>
    <row r="891">
      <c r="D891" s="117"/>
    </row>
    <row r="892">
      <c r="D892" s="117"/>
    </row>
    <row r="893">
      <c r="D893" s="117"/>
    </row>
    <row r="894">
      <c r="D894" s="117"/>
    </row>
    <row r="895">
      <c r="D895" s="117"/>
    </row>
    <row r="896">
      <c r="D896" s="117"/>
    </row>
    <row r="897">
      <c r="D897" s="117"/>
    </row>
    <row r="898">
      <c r="D898" s="117"/>
    </row>
    <row r="899">
      <c r="D899" s="117"/>
    </row>
    <row r="900">
      <c r="D900" s="117"/>
    </row>
    <row r="901">
      <c r="D901" s="117"/>
    </row>
    <row r="902">
      <c r="D902" s="117"/>
    </row>
    <row r="903">
      <c r="D903" s="117"/>
    </row>
    <row r="904">
      <c r="D904" s="117"/>
    </row>
    <row r="905">
      <c r="D905" s="117"/>
    </row>
    <row r="906">
      <c r="D906" s="117"/>
    </row>
    <row r="907">
      <c r="D907" s="117"/>
    </row>
    <row r="908">
      <c r="D908" s="117"/>
    </row>
    <row r="909">
      <c r="D909" s="117"/>
    </row>
    <row r="910">
      <c r="D910" s="117"/>
    </row>
    <row r="911">
      <c r="D911" s="117"/>
    </row>
    <row r="912">
      <c r="D912" s="117"/>
    </row>
    <row r="913">
      <c r="D913" s="117"/>
    </row>
    <row r="914">
      <c r="D914" s="117"/>
    </row>
    <row r="915">
      <c r="D915" s="117"/>
    </row>
    <row r="916">
      <c r="D916" s="117"/>
    </row>
    <row r="917">
      <c r="D917" s="117"/>
    </row>
    <row r="918">
      <c r="D918" s="117"/>
    </row>
    <row r="919">
      <c r="D919" s="117"/>
    </row>
    <row r="920">
      <c r="D920" s="117"/>
    </row>
    <row r="921">
      <c r="D921" s="117"/>
    </row>
    <row r="922">
      <c r="D922" s="117"/>
    </row>
    <row r="923">
      <c r="D923" s="117"/>
    </row>
    <row r="924">
      <c r="D924" s="117"/>
    </row>
    <row r="925">
      <c r="D925" s="117"/>
    </row>
    <row r="926">
      <c r="D926" s="117"/>
    </row>
    <row r="927">
      <c r="D927" s="117"/>
    </row>
    <row r="928">
      <c r="D928" s="117"/>
    </row>
    <row r="929">
      <c r="D929" s="117"/>
    </row>
    <row r="930">
      <c r="D930" s="117"/>
    </row>
    <row r="931">
      <c r="D931" s="117"/>
    </row>
    <row r="932">
      <c r="D932" s="117"/>
    </row>
    <row r="933">
      <c r="D933" s="117"/>
    </row>
    <row r="934">
      <c r="D934" s="117"/>
    </row>
    <row r="935">
      <c r="D935" s="117"/>
    </row>
    <row r="936">
      <c r="D936" s="117"/>
    </row>
    <row r="937">
      <c r="D937" s="117"/>
    </row>
    <row r="938">
      <c r="D938" s="117"/>
    </row>
    <row r="939">
      <c r="D939" s="117"/>
    </row>
    <row r="940">
      <c r="D940" s="117"/>
    </row>
    <row r="941">
      <c r="D941" s="117"/>
    </row>
    <row r="942">
      <c r="D942" s="117"/>
    </row>
    <row r="943">
      <c r="D943" s="117"/>
    </row>
    <row r="944">
      <c r="D944" s="117"/>
    </row>
    <row r="945">
      <c r="D945" s="117"/>
    </row>
    <row r="946">
      <c r="D946" s="117"/>
    </row>
    <row r="947">
      <c r="D947" s="117"/>
    </row>
    <row r="948">
      <c r="D948" s="117"/>
    </row>
    <row r="949">
      <c r="D949" s="117"/>
    </row>
    <row r="950">
      <c r="D950" s="117"/>
    </row>
    <row r="951">
      <c r="D951" s="117"/>
    </row>
    <row r="952">
      <c r="D952" s="117"/>
    </row>
    <row r="953">
      <c r="D953" s="117"/>
    </row>
    <row r="954">
      <c r="D954" s="117"/>
    </row>
    <row r="955">
      <c r="D955" s="117"/>
    </row>
    <row r="956">
      <c r="D956" s="117"/>
    </row>
    <row r="957">
      <c r="D957" s="117"/>
    </row>
    <row r="958">
      <c r="D958" s="117"/>
    </row>
    <row r="959">
      <c r="D959" s="117"/>
    </row>
    <row r="960">
      <c r="D960" s="117"/>
    </row>
    <row r="961">
      <c r="D961" s="117"/>
    </row>
    <row r="962">
      <c r="D962" s="117"/>
    </row>
    <row r="963">
      <c r="D963" s="117"/>
    </row>
    <row r="964">
      <c r="D964" s="117"/>
    </row>
    <row r="965">
      <c r="D965" s="117"/>
    </row>
    <row r="966">
      <c r="D966" s="117"/>
    </row>
    <row r="967">
      <c r="D967" s="117"/>
    </row>
    <row r="968">
      <c r="D968" s="117"/>
    </row>
    <row r="969">
      <c r="D969" s="117"/>
    </row>
    <row r="970">
      <c r="D970" s="117"/>
    </row>
    <row r="971">
      <c r="D971" s="117"/>
    </row>
    <row r="972">
      <c r="D972" s="117"/>
    </row>
    <row r="973">
      <c r="D973" s="117"/>
    </row>
    <row r="974">
      <c r="D974" s="117"/>
    </row>
    <row r="975">
      <c r="D975" s="117"/>
    </row>
    <row r="976">
      <c r="D976" s="117"/>
    </row>
    <row r="977">
      <c r="D977" s="117"/>
    </row>
    <row r="978">
      <c r="D978" s="117"/>
    </row>
    <row r="979">
      <c r="D979" s="117"/>
    </row>
    <row r="980">
      <c r="D980" s="117"/>
    </row>
    <row r="981">
      <c r="D981" s="117"/>
    </row>
    <row r="982">
      <c r="D982" s="117"/>
    </row>
    <row r="983">
      <c r="D983" s="117"/>
    </row>
    <row r="984">
      <c r="D984" s="117"/>
    </row>
    <row r="985">
      <c r="D985" s="117"/>
    </row>
    <row r="986">
      <c r="D986" s="117"/>
    </row>
    <row r="987">
      <c r="D987" s="117"/>
    </row>
    <row r="988">
      <c r="D988" s="117"/>
    </row>
    <row r="989">
      <c r="D989" s="117"/>
    </row>
    <row r="990">
      <c r="D990" s="117"/>
    </row>
    <row r="991">
      <c r="D991" s="117"/>
    </row>
    <row r="992">
      <c r="D992" s="117"/>
    </row>
    <row r="993">
      <c r="D993" s="117"/>
    </row>
    <row r="994">
      <c r="D994" s="117"/>
    </row>
    <row r="995">
      <c r="D995" s="117"/>
    </row>
    <row r="996">
      <c r="D996" s="117"/>
    </row>
    <row r="997">
      <c r="D997" s="117"/>
    </row>
    <row r="998">
      <c r="D998" s="117"/>
    </row>
    <row r="999">
      <c r="D999" s="117"/>
    </row>
    <row r="1000">
      <c r="D1000" s="117"/>
    </row>
    <row r="1001">
      <c r="D1001" s="117"/>
    </row>
    <row r="1002">
      <c r="D1002" s="117"/>
    </row>
    <row r="1003">
      <c r="D1003" s="117"/>
    </row>
    <row r="1004">
      <c r="D1004" s="117"/>
    </row>
    <row r="1005">
      <c r="D1005" s="117"/>
    </row>
    <row r="1006">
      <c r="D1006" s="117"/>
    </row>
    <row r="1007">
      <c r="D1007" s="117"/>
    </row>
    <row r="1008">
      <c r="D1008" s="117"/>
    </row>
    <row r="1009">
      <c r="D1009" s="117"/>
    </row>
    <row r="1010">
      <c r="D1010" s="117"/>
    </row>
    <row r="1011">
      <c r="D1011" s="117"/>
    </row>
    <row r="1012">
      <c r="D1012" s="117"/>
    </row>
    <row r="1013">
      <c r="D1013" s="117"/>
    </row>
  </sheetData>
  <drawing r:id="rId1"/>
</worksheet>
</file>